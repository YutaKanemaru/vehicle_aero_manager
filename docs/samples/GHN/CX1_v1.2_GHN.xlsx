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9.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10.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ltairengineering-my.sharepoint.com/personal/ykanemaru_asiapac_altair_com/Documents/PROJECT/C01-TRAINING-DEMO-TEST/B_Training_Materials/CaseSetup-python-API/"/>
    </mc:Choice>
  </mc:AlternateContent>
  <xr:revisionPtr revIDLastSave="72" documentId="8_{95A3775E-5032-4C81-BC5B-D5603F3232FC}" xr6:coauthVersionLast="47" xr6:coauthVersionMax="47" xr10:uidLastSave="{346E8D44-B164-48D9-9586-FA6C87D8AA49}"/>
  <bookViews>
    <workbookView xWindow="-120" yWindow="-120" windowWidth="29040" windowHeight="17520" xr2:uid="{A9448D6B-6C22-4C8A-B18C-D89D7CC952D5}"/>
  </bookViews>
  <sheets>
    <sheet name="General" sheetId="2" r:id="rId1"/>
    <sheet name="Wheels_baffles" sheetId="4" r:id="rId2"/>
    <sheet name="Belts" sheetId="3" r:id="rId3"/>
    <sheet name="Heat_exchangers" sheetId="1" r:id="rId4"/>
    <sheet name="Ride_Height" sheetId="8" r:id="rId5"/>
    <sheet name="Mesh_Control" sheetId="9" r:id="rId6"/>
    <sheet name="Additional_offset_refinement" sheetId="6" r:id="rId7"/>
    <sheet name="Custom_refinement" sheetId="16" r:id="rId8"/>
    <sheet name="Partial_Volume_Outputs" sheetId="13" r:id="rId9"/>
    <sheet name="Partial_Surface_Outputs" sheetId="17" r:id="rId10"/>
    <sheet name="Monitor_Surface_Outputs" sheetId="14" r:id="rId11"/>
    <sheet name="Full_Partial_Volume_Outputs" sheetId="11" r:id="rId12"/>
    <sheet name="fullData_Outputs" sheetId="10" r:id="rId13"/>
    <sheet name="FullData_Surface_Outputs" sheetId="12" r:id="rId14"/>
    <sheet name="CALCULATOR" sheetId="15" r:id="rId15"/>
  </sheets>
  <externalReferences>
    <externalReference r:id="rId16"/>
  </externalReferences>
  <definedNames>
    <definedName name="Air_c">CALCULATOR!$B$14</definedName>
    <definedName name="Air_mu">CALCULATOR!$B$10</definedName>
    <definedName name="Air_R">CALCULATOR!$B$13</definedName>
    <definedName name="Air_rho">CALCULATOR!$B$9</definedName>
    <definedName name="Air_T">CALCULATOR!$B$12</definedName>
    <definedName name="Cycles">#REF!</definedName>
    <definedName name="GroundHeight">'[1]SETUP - Domain Sizes'!$J$14</definedName>
    <definedName name="Ma">CALCULATOR!$B$22</definedName>
    <definedName name="Nyquist">#REF!</definedName>
    <definedName name="RL_coarse">CALCULATOR!$B$21</definedName>
    <definedName name="RLs">CALCULATOR!$B$19</definedName>
    <definedName name="SamplingFreq">#REF!</definedName>
    <definedName name="SignalLength">#REF!</definedName>
    <definedName name="Sim_t">CALCULATOR!$B$17</definedName>
    <definedName name="TS">CALCULATOR!$B$23</definedName>
    <definedName name="Vehicle_H">'[1]SETUP - Domain Sizes'!$C$14</definedName>
    <definedName name="Vehicle_L">'[1]SETUP - Domain Sizes'!$A$14</definedName>
    <definedName name="Vehicle_W">'[1]SETUP - Domain Sizes'!$B$14</definedName>
    <definedName name="VehicleBB_X">'[1]SETUP - Domain Sizes'!$E$14</definedName>
    <definedName name="VehicleBB_Y">'[1]SETUP - Domain Sizes'!$F$14</definedName>
    <definedName name="VehicleBB_Z">'[1]SETUP - Domain Sizes'!$G$14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E3" i="1"/>
  <c r="F3" i="1"/>
  <c r="E2" i="1"/>
  <c r="R29" i="15"/>
  <c r="R28" i="15"/>
  <c r="R27" i="15"/>
  <c r="R26" i="15"/>
  <c r="R25" i="15"/>
  <c r="R24" i="15"/>
  <c r="R23" i="15"/>
  <c r="R22" i="15"/>
  <c r="R21" i="15"/>
  <c r="L21" i="15"/>
  <c r="R20" i="15"/>
  <c r="B20" i="15"/>
  <c r="B21" i="15" s="1"/>
  <c r="S19" i="15"/>
  <c r="S20" i="15" s="1"/>
  <c r="S21" i="15" s="1"/>
  <c r="S22" i="15" s="1"/>
  <c r="S23" i="15" s="1"/>
  <c r="S24" i="15" s="1"/>
  <c r="S25" i="15" s="1"/>
  <c r="S26" i="15" s="1"/>
  <c r="S27" i="15" s="1"/>
  <c r="S28" i="15" s="1"/>
  <c r="S29" i="15" s="1"/>
  <c r="R19" i="15"/>
  <c r="S18" i="15"/>
  <c r="R18" i="15"/>
  <c r="R17" i="15"/>
  <c r="H14" i="15"/>
  <c r="J14" i="15" s="1"/>
  <c r="S13" i="15"/>
  <c r="R13" i="15"/>
  <c r="H13" i="15"/>
  <c r="J13" i="15" s="1"/>
  <c r="S12" i="15"/>
  <c r="R12" i="15"/>
  <c r="H12" i="15"/>
  <c r="B12" i="15"/>
  <c r="B14" i="15" s="1"/>
  <c r="S11" i="15"/>
  <c r="R11" i="15"/>
  <c r="H11" i="15"/>
  <c r="J11" i="15" s="1"/>
  <c r="S10" i="15"/>
  <c r="R10" i="15"/>
  <c r="Q29" i="15" l="1"/>
  <c r="Q28" i="15"/>
  <c r="Q19" i="15"/>
  <c r="Q21" i="15"/>
  <c r="Q24" i="15"/>
  <c r="Q20" i="15"/>
  <c r="Q25" i="15"/>
  <c r="Q22" i="15"/>
  <c r="Q27" i="15"/>
  <c r="Q23" i="15"/>
  <c r="Q18" i="15"/>
  <c r="Q26" i="15"/>
  <c r="B23" i="15"/>
  <c r="Q17" i="15"/>
  <c r="J12" i="15"/>
  <c r="B25" i="15" l="1"/>
  <c r="T19" i="15"/>
  <c r="T24" i="15"/>
  <c r="T21" i="15"/>
  <c r="G14" i="15"/>
  <c r="G13" i="15"/>
  <c r="B24" i="15"/>
  <c r="K21" i="15"/>
  <c r="I21" i="15"/>
  <c r="M21" i="15" s="1"/>
  <c r="G11" i="15"/>
  <c r="G21" i="15"/>
  <c r="G12" i="15"/>
  <c r="I14" i="15"/>
  <c r="K12" i="15"/>
  <c r="I13" i="15"/>
  <c r="T18" i="15"/>
  <c r="T29" i="15"/>
  <c r="T17" i="15"/>
  <c r="K13" i="15"/>
  <c r="K14" i="15"/>
  <c r="T23" i="15"/>
  <c r="T28" i="15"/>
  <c r="K11" i="15"/>
  <c r="T27" i="15"/>
  <c r="T20" i="15"/>
  <c r="T26" i="15"/>
  <c r="I12" i="15"/>
  <c r="T25" i="15"/>
  <c r="T22" i="15"/>
  <c r="V29" i="15" l="1"/>
  <c r="U29" i="15"/>
  <c r="V18" i="15"/>
  <c r="U18" i="15"/>
  <c r="V22" i="15"/>
  <c r="U22" i="15"/>
  <c r="U25" i="15"/>
  <c r="V25" i="15"/>
  <c r="V19" i="15"/>
  <c r="U19" i="15"/>
  <c r="Q12" i="15"/>
  <c r="T12" i="15" s="1"/>
  <c r="M13" i="15" s="1" a="1"/>
  <c r="M13" i="15" s="1"/>
  <c r="U12" i="15" s="1"/>
  <c r="N13" i="15" s="1"/>
  <c r="V12" i="15" s="1"/>
  <c r="Q10" i="15"/>
  <c r="T10" i="15" s="1"/>
  <c r="M11" i="15" s="1" a="1"/>
  <c r="M11" i="15" s="1"/>
  <c r="U10" i="15" s="1"/>
  <c r="N11" i="15" s="1"/>
  <c r="V10" i="15" s="1"/>
  <c r="Q11" i="15"/>
  <c r="T11" i="15" s="1"/>
  <c r="M12" i="15" s="1" a="1"/>
  <c r="M12" i="15" s="1"/>
  <c r="U11" i="15" s="1"/>
  <c r="N12" i="15" s="1"/>
  <c r="V11" i="15" s="1"/>
  <c r="U17" i="15"/>
  <c r="Q13" i="15"/>
  <c r="T13" i="15" s="1"/>
  <c r="M14" i="15" s="1" a="1"/>
  <c r="M14" i="15" s="1"/>
  <c r="U13" i="15" s="1"/>
  <c r="N14" i="15" s="1"/>
  <c r="V13" i="15" s="1"/>
  <c r="V17" i="15"/>
  <c r="V26" i="15"/>
  <c r="U26" i="15"/>
  <c r="U20" i="15"/>
  <c r="V20" i="15"/>
  <c r="V27" i="15"/>
  <c r="U27" i="15"/>
  <c r="V21" i="15"/>
  <c r="U21" i="15"/>
  <c r="V24" i="15"/>
  <c r="U24" i="15"/>
  <c r="V28" i="15"/>
  <c r="U28" i="15"/>
  <c r="V23" i="15"/>
  <c r="U23" i="15"/>
  <c r="P10" i="15" l="1"/>
  <c r="P13" i="15"/>
  <c r="P12" i="15"/>
  <c r="P11" i="15"/>
  <c r="F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tc={721B6774-6B78-48B4-9CC5-8C36909F29ED}</author>
    <author>tc={29D80C54-6AA3-4131-9398-DCF2D5C575C2}</author>
    <author>tc={E7A67077-EDA9-4360-A54D-F61E7997D6E2}</author>
  </authors>
  <commentList>
    <comment ref="C2" authorId="0" shapeId="0" xr:uid="{721B6774-6B78-48B4-9CC5-8C36909F29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Apply if box_size_with_parts_and_factors=True</t>
      </text>
    </comment>
    <comment ref="D2" authorId="1" shapeId="0" xr:uid="{29D80C54-6AA3-4131-9398-DCF2D5C575C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Apply if box_size_with_parts_and_factors=True
</t>
      </text>
    </comment>
    <comment ref="E2" authorId="2" shapeId="0" xr:uid="{E7A67077-EDA9-4360-A54D-F61E7997D6E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Put factors/values in following order in m:
xMin,xMax,yMin,yMax,zMin,zMax
Make sure you start with ', otherwise excel will not allow you to type 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tc={73AB8CAC-CA1E-445B-B4F5-FD1E6353F86A}</author>
  </authors>
  <commentList>
    <comment ref="B2" authorId="0" shapeId="0" xr:uid="{73AB8CAC-CA1E-445B-B4F5-FD1E6353F86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If you select all parts in the session, keep cell brank.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tc={8E8A7CEC-FD12-445B-86BE-BB67D18995FB}</author>
  </authors>
  <commentList>
    <comment ref="B1" authorId="0" shapeId="0" xr:uid="{8E8A7CEC-FD12-445B-86BE-BB67D18995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Make sure the name is same as property name in vwt API.</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Joshua Tagoe</author>
  </authors>
  <commentList>
    <comment ref="B13" authorId="0" shapeId="0" xr:uid="{352623A3-F5E6-4F70-A569-11685F146170}">
      <text>
        <r>
          <rPr>
            <b/>
            <sz val="9"/>
            <color indexed="81"/>
            <rFont val="Tahoma"/>
            <family val="2"/>
          </rPr>
          <t>Joshua Tagoe:</t>
        </r>
        <r>
          <rPr>
            <sz val="9"/>
            <color indexed="81"/>
            <rFont val="Tahoma"/>
            <family val="2"/>
          </rPr>
          <t xml:space="preserve">
Constant for air: 287.058 J/(kg K)</t>
        </r>
      </text>
    </comment>
    <comment ref="F18" authorId="0" shapeId="0" xr:uid="{130605BE-F138-415A-AFC7-EFBBE4A4FBB9}">
      <text>
        <r>
          <rPr>
            <sz val="9"/>
            <color indexed="81"/>
            <rFont val="Tahoma"/>
            <family val="2"/>
          </rPr>
          <t>Specifies after which coarsest iteration the continuous averaging of variables and force coefficients starts. The averaging itself also uses information from subiterations on the finer refinement levels.</t>
        </r>
      </text>
    </comment>
    <comment ref="H18" authorId="0" shapeId="0" xr:uid="{D3719254-6510-4CC8-8B3C-4D78EE796EC8}">
      <text>
        <r>
          <rPr>
            <sz val="9"/>
            <color indexed="81"/>
            <rFont val="Tahoma"/>
            <family val="2"/>
          </rPr>
          <t>Specifies the number of consecutive coarsest iterations that will be used for window averaging. This value should be a factor of &lt;output_frequency&gt;.</t>
        </r>
      </text>
    </comment>
    <comment ref="J18" authorId="0" shapeId="0" xr:uid="{3BC1F710-DB25-4DB4-814B-817D3929AEFC}">
      <text>
        <r>
          <rPr>
            <sz val="9"/>
            <color indexed="81"/>
            <rFont val="Tahoma"/>
            <family val="2"/>
          </rPr>
          <t>Specifies after which coarsest iteration the output will start.</t>
        </r>
      </text>
    </comment>
    <comment ref="L18" authorId="0" shapeId="0" xr:uid="{75DD9ED1-F6F1-481A-B8F1-AD43C05EB84B}">
      <text>
        <r>
          <rPr>
            <b/>
            <sz val="9"/>
            <color indexed="81"/>
            <rFont val="Tahoma"/>
            <family val="2"/>
          </rPr>
          <t>Joshua Tagoe:</t>
        </r>
        <r>
          <rPr>
            <sz val="9"/>
            <color indexed="81"/>
            <rFont val="Tahoma"/>
            <family val="2"/>
          </rPr>
          <t xml:space="preserve">
Frequency to write result data to disk (= number of coarsest iterations between consecutive outputs of the volume and the surface data)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<sst xmlns="http://schemas.openxmlformats.org/spreadsheetml/2006/main" count="807" uniqueCount="424">
  <si>
    <t>name</t>
  </si>
  <si>
    <t>inlet</t>
  </si>
  <si>
    <t>frame</t>
  </si>
  <si>
    <t>outlet</t>
  </si>
  <si>
    <t>coeffs_viscous</t>
  </si>
  <si>
    <t>各名称の説明</t>
    <rPh sb="0" eb="3">
      <t>カクメイショウ</t>
    </rPh>
    <rPh sb="4" eb="6">
      <t>セツメイ</t>
    </rPh>
    <phoneticPr fontId="1"/>
  </si>
  <si>
    <t>使い方</t>
    <rPh sb="0" eb="1">
      <t>ツカ</t>
    </rPh>
    <rPh sb="2" eb="3">
      <t>カタ</t>
    </rPh>
    <phoneticPr fontId="1"/>
  </si>
  <si>
    <t>nameに熱交換器のIDを入力</t>
    <rPh sb="5" eb="9">
      <t>ネツコウカンキ</t>
    </rPh>
    <rPh sb="13" eb="15">
      <t>ニュウリョク</t>
    </rPh>
    <phoneticPr fontId="1"/>
  </si>
  <si>
    <t>inlet, frame, outletのIDは自動出力されるので、こちらに合わせてPIDの設定を実施してください。</t>
    <rPh sb="24" eb="26">
      <t>ジドウ</t>
    </rPh>
    <rPh sb="26" eb="28">
      <t>シュツリョク</t>
    </rPh>
    <rPh sb="38" eb="39">
      <t>ア</t>
    </rPh>
    <rPh sb="46" eb="48">
      <t>セッテイ</t>
    </rPh>
    <rPh sb="49" eb="51">
      <t>ジッシ</t>
    </rPh>
    <phoneticPr fontId="1"/>
  </si>
  <si>
    <t>coeffs_intertial、coeffs_viscousの係数を入力してください。</t>
    <rPh sb="32" eb="34">
      <t>ケイスウ</t>
    </rPh>
    <rPh sb="35" eb="37">
      <t>ニュウリョク</t>
    </rPh>
    <phoneticPr fontId="1"/>
  </si>
  <si>
    <r>
      <t>name</t>
    </r>
    <r>
      <rPr>
        <sz val="11"/>
        <color theme="1"/>
        <rFont val="Aptos Narrow"/>
        <family val="3"/>
        <charset val="128"/>
        <scheme val="minor"/>
      </rPr>
      <t>: 熱交換器の名前</t>
    </r>
  </si>
  <si>
    <r>
      <t>inlet</t>
    </r>
    <r>
      <rPr>
        <sz val="11"/>
        <color theme="1"/>
        <rFont val="Aptos Narrow"/>
        <family val="3"/>
        <charset val="128"/>
        <scheme val="minor"/>
      </rPr>
      <t>: 入り口の名前</t>
    </r>
  </si>
  <si>
    <r>
      <t>frame</t>
    </r>
    <r>
      <rPr>
        <sz val="11"/>
        <color theme="1"/>
        <rFont val="Aptos Narrow"/>
        <family val="3"/>
        <charset val="128"/>
        <scheme val="minor"/>
      </rPr>
      <t>: フレームの名前</t>
    </r>
  </si>
  <si>
    <r>
      <t>outlet</t>
    </r>
    <r>
      <rPr>
        <sz val="11"/>
        <color theme="1"/>
        <rFont val="Aptos Narrow"/>
        <family val="3"/>
        <charset val="128"/>
        <scheme val="minor"/>
      </rPr>
      <t>: 出口の名前</t>
    </r>
  </si>
  <si>
    <t>Parameters</t>
    <phoneticPr fontId="1"/>
  </si>
  <si>
    <t>Value</t>
    <phoneticPr fontId="1"/>
  </si>
  <si>
    <t>入力方法</t>
    <rPh sb="0" eb="2">
      <t>ニュウリョク</t>
    </rPh>
    <rPh sb="2" eb="4">
      <t>ホウホウ</t>
    </rPh>
    <phoneticPr fontId="1"/>
  </si>
  <si>
    <t>DATA_FOLDER</t>
    <phoneticPr fontId="1"/>
  </si>
  <si>
    <t>データフォルダーまでのパスを入力</t>
    <rPh sb="14" eb="16">
      <t>ニュウリョク</t>
    </rPh>
    <phoneticPr fontId="1"/>
  </si>
  <si>
    <t>list_stl_files</t>
    <phoneticPr fontId="1"/>
  </si>
  <si>
    <t>熱交換器の数の分だけ列を追加してください。</t>
    <rPh sb="0" eb="4">
      <t>ネツコウカンキ</t>
    </rPh>
    <rPh sb="5" eb="6">
      <t>カズ</t>
    </rPh>
    <rPh sb="7" eb="8">
      <t>ブン</t>
    </rPh>
    <rPh sb="10" eb="11">
      <t>レツ</t>
    </rPh>
    <rPh sb="12" eb="14">
      <t>ツイカ</t>
    </rPh>
    <phoneticPr fontId="1"/>
  </si>
  <si>
    <t>inflow_velocity</t>
  </si>
  <si>
    <t>m/s</t>
    <phoneticPr fontId="1"/>
  </si>
  <si>
    <t>Units/Type</t>
    <phoneticPr fontId="1"/>
  </si>
  <si>
    <t>inflowの流速</t>
    <rPh sb="7" eb="9">
      <t>リュウソク</t>
    </rPh>
    <phoneticPr fontId="1"/>
  </si>
  <si>
    <t>項目</t>
    <rPh sb="0" eb="2">
      <t>コウモク</t>
    </rPh>
    <phoneticPr fontId="1"/>
  </si>
  <si>
    <t>データフォルダーのパス</t>
    <phoneticPr fontId="1"/>
  </si>
  <si>
    <t>STLファイル</t>
    <phoneticPr fontId="1"/>
  </si>
  <si>
    <t>流速</t>
    <rPh sb="0" eb="2">
      <t>リュウソク</t>
    </rPh>
    <phoneticPr fontId="1"/>
  </si>
  <si>
    <t>include_wheel_belt_forces</t>
  </si>
  <si>
    <t>揺角</t>
    <rPh sb="0" eb="1">
      <t>ユ</t>
    </rPh>
    <rPh sb="1" eb="2">
      <t>カク</t>
    </rPh>
    <phoneticPr fontId="1"/>
  </si>
  <si>
    <t>yaw_angle_vehicle</t>
  </si>
  <si>
    <t>degrees</t>
    <phoneticPr fontId="1"/>
  </si>
  <si>
    <t>x</t>
    <phoneticPr fontId="1"/>
  </si>
  <si>
    <t>y</t>
    <phoneticPr fontId="1"/>
  </si>
  <si>
    <t>belt_size_wheel</t>
  </si>
  <si>
    <t>belt_size_center</t>
  </si>
  <si>
    <t>地面の高さ</t>
    <rPh sb="0" eb="2">
      <t>ジメン</t>
    </rPh>
    <rPh sb="3" eb="4">
      <t>タカ</t>
    </rPh>
    <phoneticPr fontId="1"/>
  </si>
  <si>
    <t>belt_center_position_fr_lh</t>
  </si>
  <si>
    <t>belt_center_position_fr_rh</t>
  </si>
  <si>
    <t>belt_center_position_rr_lh</t>
  </si>
  <si>
    <t>belt_center_position_rr_rh</t>
  </si>
  <si>
    <t>belt_center_position_center</t>
  </si>
  <si>
    <t>Not taken if "wheel_belt_size_auto = True"</t>
    <phoneticPr fontId="1"/>
  </si>
  <si>
    <t>x方向長さ、y方向長さの順で入力</t>
    <rPh sb="1" eb="3">
      <t>ホウコウ</t>
    </rPh>
    <rPh sb="3" eb="4">
      <t>ナガ</t>
    </rPh>
    <rPh sb="7" eb="10">
      <t>ホウコウナガ</t>
    </rPh>
    <rPh sb="12" eb="13">
      <t>ジュン</t>
    </rPh>
    <rPh sb="14" eb="16">
      <t>ニュウリョク</t>
    </rPh>
    <phoneticPr fontId="1"/>
  </si>
  <si>
    <t>Units</t>
    <phoneticPr fontId="1"/>
  </si>
  <si>
    <t>m</t>
    <phoneticPr fontId="1"/>
  </si>
  <si>
    <t>x座標、y座標の順で入力</t>
    <rPh sb="1" eb="3">
      <t>ザヒョウ</t>
    </rPh>
    <rPh sb="5" eb="7">
      <t>ザヒョウ</t>
    </rPh>
    <rPh sb="8" eb="9">
      <t>ジュン</t>
    </rPh>
    <rPh sb="10" eb="12">
      <t>ニュウリョク</t>
    </rPh>
    <phoneticPr fontId="1"/>
  </si>
  <si>
    <t>HM_CFD_version</t>
  </si>
  <si>
    <t>HyperMesh CFDのバージョン</t>
    <phoneticPr fontId="1"/>
  </si>
  <si>
    <t>Turbulence generator</t>
    <phoneticPr fontId="1"/>
  </si>
  <si>
    <t>ベルトにかかる力を六分力の結果として含める場合はTrue、含めない場合はFalseと入力</t>
    <rPh sb="7" eb="8">
      <t>チカラ</t>
    </rPh>
    <rPh sb="9" eb="12">
      <t>ロクブンリョク</t>
    </rPh>
    <rPh sb="13" eb="15">
      <t>ケッカ</t>
    </rPh>
    <rPh sb="18" eb="19">
      <t>フク</t>
    </rPh>
    <rPh sb="21" eb="23">
      <t>バアイ</t>
    </rPh>
    <rPh sb="29" eb="30">
      <t>フク</t>
    </rPh>
    <rPh sb="33" eb="35">
      <t>バアイ</t>
    </rPh>
    <rPh sb="42" eb="44">
      <t>ニュウリョク</t>
    </rPh>
    <phoneticPr fontId="1"/>
  </si>
  <si>
    <t>ホイールベルトの自動位置調整</t>
    <rPh sb="8" eb="10">
      <t>ジドウ</t>
    </rPh>
    <rPh sb="10" eb="14">
      <t>イチチョウセイ</t>
    </rPh>
    <phoneticPr fontId="1"/>
  </si>
  <si>
    <t>ホイールベルトの位置を自動で調整する機能をONにする場合はTrue、OFFにする場合はFalseと入力</t>
    <rPh sb="8" eb="10">
      <t>イチ</t>
    </rPh>
    <rPh sb="11" eb="13">
      <t>ジドウ</t>
    </rPh>
    <rPh sb="14" eb="16">
      <t>チョウセイ</t>
    </rPh>
    <rPh sb="18" eb="20">
      <t>キノウ</t>
    </rPh>
    <phoneticPr fontId="1"/>
  </si>
  <si>
    <t>ボディ前方のTurbulence generatorの機能をONにする場合はTrue、OFFにする場合はFalseと入力</t>
    <rPh sb="3" eb="5">
      <t>ゼンポウ</t>
    </rPh>
    <rPh sb="27" eb="29">
      <t>キノウ</t>
    </rPh>
    <phoneticPr fontId="1"/>
  </si>
  <si>
    <t>使用するHyperMeshCFDのバージョンを入力</t>
    <rPh sb="0" eb="2">
      <t>シヨウ</t>
    </rPh>
    <rPh sb="23" eb="25">
      <t>ニュウリョク</t>
    </rPh>
    <phoneticPr fontId="1"/>
  </si>
  <si>
    <t>Wheelベルトのサイズ</t>
    <phoneticPr fontId="1"/>
  </si>
  <si>
    <t>センターベルトのサイズ</t>
    <phoneticPr fontId="1"/>
  </si>
  <si>
    <t>フロント左側ベルトの中心座標</t>
    <rPh sb="4" eb="6">
      <t>ヒダリガワ</t>
    </rPh>
    <rPh sb="10" eb="14">
      <t>チュウシンザヒョウ</t>
    </rPh>
    <phoneticPr fontId="1"/>
  </si>
  <si>
    <t>フロント右側ベルトの中心座標</t>
    <rPh sb="4" eb="5">
      <t>ミギ</t>
    </rPh>
    <phoneticPr fontId="1"/>
  </si>
  <si>
    <t>リア左側ベルトの中心座標</t>
    <rPh sb="2" eb="4">
      <t>ヒダリガワ</t>
    </rPh>
    <rPh sb="8" eb="12">
      <t>チュウシンザヒョウ</t>
    </rPh>
    <phoneticPr fontId="1"/>
  </si>
  <si>
    <t>リア右側ベルトの中心座標</t>
    <rPh sb="2" eb="3">
      <t>ミギ</t>
    </rPh>
    <phoneticPr fontId="1"/>
  </si>
  <si>
    <t>センターベルトの中心座標</t>
    <rPh sb="8" eb="12">
      <t>チュウシンザヒョウ</t>
    </rPh>
    <phoneticPr fontId="1"/>
  </si>
  <si>
    <t>WheelTireParts_FR_LHS</t>
    <phoneticPr fontId="1"/>
  </si>
  <si>
    <t>WheelTireParts_FR_RHS</t>
    <phoneticPr fontId="1"/>
  </si>
  <si>
    <t>WheelTireParts_RR_LHS</t>
    <phoneticPr fontId="1"/>
  </si>
  <si>
    <t>WheelTireParts_RR_RHS</t>
    <phoneticPr fontId="1"/>
  </si>
  <si>
    <t>BafflePartsName</t>
  </si>
  <si>
    <t>詳細なログ出力</t>
    <rPh sb="0" eb="2">
      <t>ショウサイ</t>
    </rPh>
    <rPh sb="5" eb="7">
      <t>シュツリョク</t>
    </rPh>
    <phoneticPr fontId="1"/>
  </si>
  <si>
    <t>詳細なログを出力する場合はTRUE、しない場合はFALSE</t>
    <rPh sb="0" eb="2">
      <t>ショウサイ</t>
    </rPh>
    <rPh sb="6" eb="8">
      <t>シュツリョク</t>
    </rPh>
    <rPh sb="10" eb="12">
      <t>バアイ</t>
    </rPh>
    <rPh sb="21" eb="23">
      <t>バアイ</t>
    </rPh>
    <phoneticPr fontId="1"/>
  </si>
  <si>
    <t>debug_mode</t>
    <phoneticPr fontId="1"/>
  </si>
  <si>
    <t>refinement_level</t>
    <phoneticPr fontId="1"/>
  </si>
  <si>
    <t>num_layers</t>
  </si>
  <si>
    <t>wheel_belt_location_auto</t>
  </si>
  <si>
    <t>ホイールベルトにかかる力</t>
    <rPh sb="11" eb="12">
      <t>チカラ</t>
    </rPh>
    <phoneticPr fontId="1"/>
  </si>
  <si>
    <t>coeffs_inertia</t>
    <phoneticPr fontId="1"/>
  </si>
  <si>
    <r>
      <t>coeffs_intertial [1/m]</t>
    </r>
    <r>
      <rPr>
        <sz val="11"/>
        <color theme="1"/>
        <rFont val="Aptos Narrow"/>
        <family val="3"/>
        <charset val="128"/>
        <scheme val="minor"/>
      </rPr>
      <t>: 慣性係数</t>
    </r>
    <phoneticPr fontId="1"/>
  </si>
  <si>
    <r>
      <t>coeffs_viscous [1/s]</t>
    </r>
    <r>
      <rPr>
        <sz val="11"/>
        <color theme="1"/>
        <rFont val="Aptos Narrow"/>
        <family val="3"/>
        <charset val="128"/>
        <scheme val="minor"/>
      </rPr>
      <t>: 粘性係数</t>
    </r>
    <phoneticPr fontId="1"/>
  </si>
  <si>
    <t>偏揺角を度（Degrees）単位系で入力</t>
    <rPh sb="4" eb="5">
      <t>ド</t>
    </rPh>
    <rPh sb="14" eb="17">
      <t>タンイケイ</t>
    </rPh>
    <rPh sb="18" eb="20">
      <t>ニュウリョク</t>
    </rPh>
    <phoneticPr fontId="1"/>
  </si>
  <si>
    <t>Wheel_Tire_Front_Left</t>
  </si>
  <si>
    <t>Wheel_Tire_Front_Right</t>
    <phoneticPr fontId="1"/>
  </si>
  <si>
    <t>Wheel_Tire_Rear_Left</t>
    <phoneticPr fontId="1"/>
  </si>
  <si>
    <t>Wheel_Tire_Rear_Right</t>
    <phoneticPr fontId="1"/>
  </si>
  <si>
    <t>Enable Ground Patch</t>
    <phoneticPr fontId="1"/>
  </si>
  <si>
    <t>車両・ベルト周りに設定するStatic床（no-slip）を車両周辺のみの範囲に限定する場合はTrue</t>
    <rPh sb="9" eb="11">
      <t>セッテイ</t>
    </rPh>
    <rPh sb="19" eb="20">
      <t>ユカ</t>
    </rPh>
    <rPh sb="44" eb="46">
      <t>バアイ</t>
    </rPh>
    <phoneticPr fontId="1"/>
  </si>
  <si>
    <t>activate_body_tg</t>
    <phoneticPr fontId="1"/>
  </si>
  <si>
    <t>タイヤの回転</t>
    <rPh sb="4" eb="6">
      <t>カイテン</t>
    </rPh>
    <phoneticPr fontId="1"/>
  </si>
  <si>
    <t>タイヤの回転（移動床の設定）をONにする場合はTrue（ベルトシステムをTrueにしていれば、自動的にTrueとなります）</t>
    <rPh sb="4" eb="6">
      <t>カイテン</t>
    </rPh>
    <rPh sb="7" eb="10">
      <t>イドウユカ</t>
    </rPh>
    <rPh sb="11" eb="13">
      <t>セッテイ</t>
    </rPh>
    <rPh sb="20" eb="22">
      <t>バアイ</t>
    </rPh>
    <rPh sb="47" eb="50">
      <t>ジドウテキ</t>
    </rPh>
    <phoneticPr fontId="1"/>
  </si>
  <si>
    <t>opt_moving_floor</t>
    <phoneticPr fontId="1"/>
  </si>
  <si>
    <t>Run time指定方法</t>
    <rPh sb="8" eb="12">
      <t>シテイホウホウ</t>
    </rPh>
    <phoneticPr fontId="1"/>
  </si>
  <si>
    <t>flow passage</t>
    <phoneticPr fontId="1"/>
  </si>
  <si>
    <t>simulation_time_with_flow_passes</t>
    <phoneticPr fontId="1"/>
  </si>
  <si>
    <t>simulation_time_num_flow_passes</t>
    <phoneticPr fontId="1"/>
  </si>
  <si>
    <t>start_averaging_time_num_flow_passes</t>
    <phoneticPr fontId="1"/>
  </si>
  <si>
    <t>simulation_time</t>
    <phoneticPr fontId="1"/>
  </si>
  <si>
    <t>start_averaging_time</t>
    <phoneticPr fontId="1"/>
  </si>
  <si>
    <t>sec</t>
    <phoneticPr fontId="1"/>
  </si>
  <si>
    <t>Simulation run time in FP</t>
    <phoneticPr fontId="1"/>
  </si>
  <si>
    <t>Simulation run time in second</t>
    <phoneticPr fontId="1"/>
  </si>
  <si>
    <t>Start averaging time in FP</t>
    <phoneticPr fontId="1"/>
  </si>
  <si>
    <t>Start averaging time in second</t>
    <phoneticPr fontId="1"/>
  </si>
  <si>
    <t>Simulation run timeをFlow passes（ガイドライン）で指定する場合はTrue、時間指定する場合はFalse</t>
    <rPh sb="40" eb="42">
      <t>シテイ</t>
    </rPh>
    <rPh sb="44" eb="46">
      <t>バアイ</t>
    </rPh>
    <rPh sb="52" eb="56">
      <t>ジカンシテイ</t>
    </rPh>
    <rPh sb="58" eb="60">
      <t>バアイ</t>
    </rPh>
    <phoneticPr fontId="1"/>
  </si>
  <si>
    <t>simulation_time_with_flow_passes＝TRUEの場合は、こちらの設定が適用される</t>
    <rPh sb="38" eb="40">
      <t>バアイ</t>
    </rPh>
    <rPh sb="46" eb="48">
      <t>セッテイ</t>
    </rPh>
    <rPh sb="49" eb="51">
      <t>テキヨウ</t>
    </rPh>
    <phoneticPr fontId="1"/>
  </si>
  <si>
    <t>simulation_time_with_flow_passes＝FALSEの場合は、こちらの設定が適用される</t>
    <rPh sb="39" eb="41">
      <t>バアイ</t>
    </rPh>
    <rPh sb="47" eb="49">
      <t>セッテイ</t>
    </rPh>
    <rPh sb="50" eb="52">
      <t>テキヨウ</t>
    </rPh>
    <phoneticPr fontId="1"/>
  </si>
  <si>
    <t>OverSetMesh for Wheels</t>
    <phoneticPr fontId="1"/>
  </si>
  <si>
    <t>osm_wheels</t>
    <phoneticPr fontId="1"/>
  </si>
  <si>
    <t>ホイールの回転をOversetMeshにて模擬する場合場合はTrue（Wheels_bafflesページでOSM用のPartsIDを指定する必要があります。）</t>
    <rPh sb="5" eb="7">
      <t>カイテン</t>
    </rPh>
    <rPh sb="21" eb="23">
      <t>モギ</t>
    </rPh>
    <rPh sb="25" eb="27">
      <t>バアイ</t>
    </rPh>
    <rPh sb="27" eb="29">
      <t>バアイ</t>
    </rPh>
    <rPh sb="56" eb="57">
      <t>ヨウ</t>
    </rPh>
    <rPh sb="66" eb="68">
      <t>シテイ</t>
    </rPh>
    <rPh sb="70" eb="72">
      <t>ヒツヨウ</t>
    </rPh>
    <phoneticPr fontId="1"/>
  </si>
  <si>
    <t>OversetMeshPartsName_FR_LH</t>
    <phoneticPr fontId="1"/>
  </si>
  <si>
    <t>OversetMeshPartsName_FR_RH</t>
    <phoneticPr fontId="1"/>
  </si>
  <si>
    <t>OversetMeshPartsName_RR_LH</t>
    <phoneticPr fontId="1"/>
  </si>
  <si>
    <t>OversetMeshPartsName_RR_RH</t>
    <phoneticPr fontId="1"/>
  </si>
  <si>
    <t>VREV_Front_Left</t>
    <phoneticPr fontId="1"/>
  </si>
  <si>
    <t>VREV_Front_Right</t>
    <phoneticPr fontId="1"/>
  </si>
  <si>
    <t>VREV_Rear_Left</t>
    <phoneticPr fontId="1"/>
  </si>
  <si>
    <t>VREV_Rear_Right</t>
    <phoneticPr fontId="1"/>
  </si>
  <si>
    <t>TireSurfaceRoughness</t>
    <phoneticPr fontId="1"/>
  </si>
  <si>
    <t>ground_height</t>
    <phoneticPr fontId="1"/>
  </si>
  <si>
    <t>bl_suction_pos_x_input</t>
    <phoneticPr fontId="1"/>
  </si>
  <si>
    <t>reference_length_auto</t>
    <phoneticPr fontId="1"/>
  </si>
  <si>
    <t>リファレンス長の自動計算</t>
    <rPh sb="6" eb="7">
      <t>チョウ</t>
    </rPh>
    <rPh sb="8" eb="12">
      <t>ジドウケイサン</t>
    </rPh>
    <phoneticPr fontId="1"/>
  </si>
  <si>
    <t>opt_belt_system</t>
    <phoneticPr fontId="1"/>
  </si>
  <si>
    <t>5ベルトシステム(5 belt system)</t>
    <phoneticPr fontId="1"/>
  </si>
  <si>
    <t>5ベルトシステムをONにする場合はTrue、OFFにする場合はFalseと入力。1ベルトを設定するには、こちらの値をFALSE、かつ、opt_moving_floorをTRUEにする。</t>
    <rPh sb="14" eb="16">
      <t>バアイ</t>
    </rPh>
    <rPh sb="28" eb="30">
      <t>バアイ</t>
    </rPh>
    <rPh sb="37" eb="39">
      <t>ニュウリョク</t>
    </rPh>
    <rPh sb="45" eb="47">
      <t>セッテイ</t>
    </rPh>
    <rPh sb="56" eb="57">
      <t>アタイ</t>
    </rPh>
    <phoneticPr fontId="1"/>
  </si>
  <si>
    <t>bl_suction_by_belt_x_min</t>
    <phoneticPr fontId="1"/>
  </si>
  <si>
    <t>境界層吸い込み位置の指定を5ベルトのxMinを使用する</t>
    <rPh sb="0" eb="3">
      <t>キョウカイソウ</t>
    </rPh>
    <rPh sb="3" eb="4">
      <t>ス</t>
    </rPh>
    <rPh sb="5" eb="6">
      <t>コ</t>
    </rPh>
    <rPh sb="7" eb="9">
      <t>イチ</t>
    </rPh>
    <rPh sb="10" eb="12">
      <t>シテイ</t>
    </rPh>
    <rPh sb="23" eb="25">
      <t>シヨウ</t>
    </rPh>
    <phoneticPr fontId="1"/>
  </si>
  <si>
    <t>no-slip床のxminの位置</t>
    <rPh sb="7" eb="8">
      <t>ユカ</t>
    </rPh>
    <rPh sb="14" eb="16">
      <t>イチ</t>
    </rPh>
    <phoneticPr fontId="1"/>
  </si>
  <si>
    <t>5ベルトシステム使用時に、境界層吸い込みをベルトのxMinの値から自動入力する場合はTrue、しない場合はFalse。</t>
    <rPh sb="8" eb="11">
      <t>シヨウジ</t>
    </rPh>
    <rPh sb="13" eb="16">
      <t>キョウカイソウ</t>
    </rPh>
    <rPh sb="16" eb="17">
      <t>ス</t>
    </rPh>
    <rPh sb="18" eb="19">
      <t>コ</t>
    </rPh>
    <rPh sb="30" eb="31">
      <t>アタイ</t>
    </rPh>
    <rPh sb="33" eb="37">
      <t>ジドウニュウリョク</t>
    </rPh>
    <rPh sb="39" eb="41">
      <t>バアイ</t>
    </rPh>
    <rPh sb="50" eb="52">
      <t>バアイ</t>
    </rPh>
    <phoneticPr fontId="1"/>
  </si>
  <si>
    <t>bl_suction_by_belt_x_min、もしくは、5ベルトシステムがFalseの場合においてのみ有効。No-slip床の開始点（xmin）を指定する。</t>
    <rPh sb="45" eb="47">
      <t>バアイ</t>
    </rPh>
    <rPh sb="53" eb="55">
      <t>ユウコウ</t>
    </rPh>
    <rPh sb="63" eb="64">
      <t>ユカ</t>
    </rPh>
    <rPh sb="65" eb="68">
      <t>カイシテン</t>
    </rPh>
    <rPh sb="75" eb="77">
      <t>シテイ</t>
    </rPh>
    <phoneticPr fontId="1"/>
  </si>
  <si>
    <t>enable_ground_patch</t>
    <phoneticPr fontId="1"/>
  </si>
  <si>
    <t>Unit: m、タイヤにSurface roughnessを与える場合は0以外の値を入力、与えない場合は0と入力。WheelTireParts_*で指定されたパーツに対して設定される。</t>
    <rPh sb="30" eb="31">
      <t>アタ</t>
    </rPh>
    <rPh sb="33" eb="35">
      <t>バアイ</t>
    </rPh>
    <rPh sb="37" eb="39">
      <t>イガイ</t>
    </rPh>
    <rPh sb="40" eb="41">
      <t>アタイ</t>
    </rPh>
    <rPh sb="42" eb="44">
      <t>ニュウリョク</t>
    </rPh>
    <rPh sb="45" eb="46">
      <t>アタ</t>
    </rPh>
    <rPh sb="49" eb="51">
      <t>バアイ</t>
    </rPh>
    <rPh sb="54" eb="56">
      <t>ニュウリョク</t>
    </rPh>
    <rPh sb="74" eb="76">
      <t>シテイ</t>
    </rPh>
    <rPh sb="83" eb="84">
      <t>タイ</t>
    </rPh>
    <rPh sb="86" eb="88">
      <t>セッテイ</t>
    </rPh>
    <phoneticPr fontId="1"/>
  </si>
  <si>
    <t>front_wheel_axis_RH</t>
    <phoneticPr fontId="1"/>
  </si>
  <si>
    <t>rear_wheel_axis_RH</t>
    <phoneticPr fontId="1"/>
  </si>
  <si>
    <t>front_wheel_axis_height</t>
    <phoneticPr fontId="1"/>
  </si>
  <si>
    <t>rear_wheel_axis_height</t>
    <phoneticPr fontId="1"/>
  </si>
  <si>
    <t>Items</t>
    <phoneticPr fontId="1"/>
  </si>
  <si>
    <t>Sections</t>
    <phoneticPr fontId="1"/>
  </si>
  <si>
    <t>Run parameters</t>
    <phoneticPr fontId="1"/>
  </si>
  <si>
    <t>Boundary conditions</t>
    <phoneticPr fontId="1"/>
  </si>
  <si>
    <t>Force Calculations</t>
    <phoneticPr fontId="1"/>
  </si>
  <si>
    <t>Options</t>
    <phoneticPr fontId="1"/>
  </si>
  <si>
    <t>Others</t>
    <phoneticPr fontId="1"/>
  </si>
  <si>
    <t>Ride height</t>
    <phoneticPr fontId="1"/>
  </si>
  <si>
    <t>adjust_ride_height</t>
    <phoneticPr fontId="1"/>
  </si>
  <si>
    <t>adjust_body_wheel_separately</t>
    <phoneticPr fontId="1"/>
  </si>
  <si>
    <t>Ride height option</t>
    <phoneticPr fontId="1"/>
  </si>
  <si>
    <t>Adjust body and wheel separately option</t>
    <phoneticPr fontId="1"/>
  </si>
  <si>
    <t>車高調整機能（ピッチ・Heaveのみ）をOnにする場合は、TRUE</t>
    <rPh sb="0" eb="6">
      <t>シャコウチョウセイキノウ</t>
    </rPh>
    <rPh sb="25" eb="27">
      <t>バアイ</t>
    </rPh>
    <phoneticPr fontId="1"/>
  </si>
  <si>
    <t>車高調整機能がOnの際に、ボディとタイヤを別々に動かす場合はTRUE、ボディとタイヤを同様に動かす場合はFALSE</t>
    <rPh sb="0" eb="6">
      <t>シャコウチョウセイキノウ</t>
    </rPh>
    <rPh sb="10" eb="11">
      <t>サイ</t>
    </rPh>
    <rPh sb="21" eb="23">
      <t>ベツベツ</t>
    </rPh>
    <rPh sb="24" eb="25">
      <t>ウゴ</t>
    </rPh>
    <rPh sb="27" eb="29">
      <t>バアイ</t>
    </rPh>
    <rPh sb="43" eb="45">
      <t>ドウヨウ</t>
    </rPh>
    <rPh sb="46" eb="47">
      <t>ウゴ</t>
    </rPh>
    <rPh sb="49" eb="51">
      <t>バアイ</t>
    </rPh>
    <phoneticPr fontId="1"/>
  </si>
  <si>
    <t>使用方法</t>
    <rPh sb="0" eb="4">
      <t>シヨウホウホウ</t>
    </rPh>
    <phoneticPr fontId="1"/>
  </si>
  <si>
    <t>フロントホイールセンターの地面からの高さ（Z方向）を指定</t>
    <rPh sb="13" eb="15">
      <t>ジメン</t>
    </rPh>
    <rPh sb="18" eb="19">
      <t>タカ</t>
    </rPh>
    <rPh sb="22" eb="24">
      <t>ホウコウ</t>
    </rPh>
    <rPh sb="26" eb="28">
      <t>シテイ</t>
    </rPh>
    <phoneticPr fontId="1"/>
  </si>
  <si>
    <t>リアホイールセンターの地面からの高さ（Z方向）を指定</t>
    <rPh sb="11" eb="13">
      <t>ジメン</t>
    </rPh>
    <rPh sb="16" eb="17">
      <t>タカ</t>
    </rPh>
    <rPh sb="20" eb="22">
      <t>ホウコウ</t>
    </rPh>
    <rPh sb="24" eb="26">
      <t>シテイ</t>
    </rPh>
    <phoneticPr fontId="1"/>
  </si>
  <si>
    <t>ボディとタイヤを別々に動かす場合のみ、地面からのフロントホイールセンターの高さ（Z方向）を指定</t>
    <rPh sb="8" eb="10">
      <t>ベツベツ</t>
    </rPh>
    <rPh sb="11" eb="12">
      <t>ウゴ</t>
    </rPh>
    <rPh sb="14" eb="16">
      <t>バアイ</t>
    </rPh>
    <rPh sb="19" eb="21">
      <t>ジメン</t>
    </rPh>
    <rPh sb="37" eb="38">
      <t>タカ</t>
    </rPh>
    <rPh sb="41" eb="43">
      <t>ホウコウ</t>
    </rPh>
    <rPh sb="45" eb="47">
      <t>シテイ</t>
    </rPh>
    <phoneticPr fontId="1"/>
  </si>
  <si>
    <t>ボディとタイヤを別々に動かす場合のみ、地面からのリアホイールセンターの高さ（Z方向）を指定</t>
    <rPh sb="8" eb="10">
      <t>ベツベツ</t>
    </rPh>
    <rPh sb="11" eb="12">
      <t>ウゴ</t>
    </rPh>
    <rPh sb="14" eb="16">
      <t>バアイ</t>
    </rPh>
    <rPh sb="19" eb="21">
      <t>ジメン</t>
    </rPh>
    <rPh sb="35" eb="36">
      <t>タカ</t>
    </rPh>
    <rPh sb="39" eb="41">
      <t>ホウコウ</t>
    </rPh>
    <rPh sb="43" eb="45">
      <t>シテイ</t>
    </rPh>
    <phoneticPr fontId="1"/>
  </si>
  <si>
    <t>WheelPartsNames</t>
    <phoneticPr fontId="1"/>
  </si>
  <si>
    <t>ボディとタイヤを別々に動かす際、タイヤの位置を元のCADデータの位置とする場合はTrue。その際、front_wheel_axis_height、rear_wheel_axis_heightの指定は不要</t>
    <rPh sb="8" eb="10">
      <t>ベツベツ</t>
    </rPh>
    <rPh sb="11" eb="12">
      <t>ウゴ</t>
    </rPh>
    <rPh sb="14" eb="15">
      <t>サイ</t>
    </rPh>
    <rPh sb="20" eb="22">
      <t>イチ</t>
    </rPh>
    <rPh sb="23" eb="24">
      <t>モト</t>
    </rPh>
    <rPh sb="32" eb="34">
      <t>イチ</t>
    </rPh>
    <rPh sb="37" eb="39">
      <t>バアイ</t>
    </rPh>
    <rPh sb="47" eb="48">
      <t>サイ</t>
    </rPh>
    <rPh sb="96" eb="98">
      <t>シテイ</t>
    </rPh>
    <rPh sb="99" eb="101">
      <t>フヨウ</t>
    </rPh>
    <phoneticPr fontId="1"/>
  </si>
  <si>
    <t>boolean</t>
    <phoneticPr fontId="1"/>
  </si>
  <si>
    <t>Unit/Type</t>
    <phoneticPr fontId="1"/>
  </si>
  <si>
    <t>use_original_wheel_position</t>
    <phoneticPr fontId="1"/>
  </si>
  <si>
    <t>rotate_yaw_at_wheelbase_center</t>
    <phoneticPr fontId="1"/>
  </si>
  <si>
    <t>センターベルトの中心位置自動調整</t>
    <rPh sb="8" eb="12">
      <t>チュウシンイチ</t>
    </rPh>
    <rPh sb="12" eb="16">
      <t>ジドウチョウセイ</t>
    </rPh>
    <phoneticPr fontId="1"/>
  </si>
  <si>
    <t>centre_belt_at_wheelbase_centre</t>
    <phoneticPr fontId="1"/>
  </si>
  <si>
    <t>揺角の回転中心をホイールベース中心にするにはTRUE、原点(0,0,0)を中心に回転するのであればFALSE、車高調整機能を使用する場合は、ホイールベース中心の回転のみ対応。</t>
    <rPh sb="0" eb="1">
      <t>ユ</t>
    </rPh>
    <rPh sb="1" eb="2">
      <t>カク</t>
    </rPh>
    <rPh sb="3" eb="7">
      <t>カイテンチュウシン</t>
    </rPh>
    <rPh sb="15" eb="17">
      <t>チュウシン</t>
    </rPh>
    <rPh sb="27" eb="29">
      <t>ゲンテン</t>
    </rPh>
    <rPh sb="37" eb="39">
      <t>チュウシン</t>
    </rPh>
    <rPh sb="40" eb="42">
      <t>カイテン</t>
    </rPh>
    <rPh sb="55" eb="61">
      <t>シャコウチョウセイキノウ</t>
    </rPh>
    <rPh sb="62" eb="64">
      <t>シヨウ</t>
    </rPh>
    <rPh sb="66" eb="68">
      <t>バアイ</t>
    </rPh>
    <rPh sb="77" eb="79">
      <t>チュウシン</t>
    </rPh>
    <rPh sb="80" eb="82">
      <t>カイテン</t>
    </rPh>
    <rPh sb="84" eb="86">
      <t>タイオウ</t>
    </rPh>
    <phoneticPr fontId="1"/>
  </si>
  <si>
    <t>揺角の回転中心</t>
    <rPh sb="0" eb="1">
      <t>ユ</t>
    </rPh>
    <rPh sb="1" eb="2">
      <t>カク</t>
    </rPh>
    <rPh sb="3" eb="7">
      <t>カイテンチュウシン</t>
    </rPh>
    <phoneticPr fontId="1"/>
  </si>
  <si>
    <t>enable_noslip_moving_groound_for_1belt</t>
    <phoneticPr fontId="1"/>
  </si>
  <si>
    <t>1ベルトの地面の境界条件</t>
    <rPh sb="5" eb="7">
      <t>ジメン</t>
    </rPh>
    <rPh sb="8" eb="12">
      <t>キョウカイジョウケン</t>
    </rPh>
    <phoneticPr fontId="1"/>
  </si>
  <si>
    <t>Belts/Ground</t>
    <phoneticPr fontId="1"/>
  </si>
  <si>
    <t>境界層吸い込み位置・xMinからの距離指定</t>
    <rPh sb="0" eb="2">
      <t>キョウカイ</t>
    </rPh>
    <rPh sb="2" eb="4">
      <t>ソウス</t>
    </rPh>
    <rPh sb="5" eb="6">
      <t>コ</t>
    </rPh>
    <rPh sb="7" eb="9">
      <t>イチ</t>
    </rPh>
    <rPh sb="17" eb="21">
      <t>キョリシテイ</t>
    </rPh>
    <phoneticPr fontId="1"/>
  </si>
  <si>
    <t>bl_suction_by_belt_x_min_distance</t>
    <phoneticPr fontId="1"/>
  </si>
  <si>
    <t>bl_suction_by_belt_x_minがTrueの際に、境界層吸い込みの位置をxMinからの距離指定で設定できます。0の場合は、xMinの位置となります。</t>
    <rPh sb="30" eb="31">
      <t>サイ</t>
    </rPh>
    <rPh sb="41" eb="43">
      <t>イチ</t>
    </rPh>
    <rPh sb="51" eb="53">
      <t>キョリ</t>
    </rPh>
    <rPh sb="53" eb="55">
      <t>シテイ</t>
    </rPh>
    <rPh sb="56" eb="58">
      <t>セッテイ</t>
    </rPh>
    <rPh sb="65" eb="67">
      <t>バアイ</t>
    </rPh>
    <rPh sb="74" eb="76">
      <t>イチ</t>
    </rPh>
    <phoneticPr fontId="1"/>
  </si>
  <si>
    <t>地面の高さを形状の最下点からの距離指定する</t>
    <rPh sb="0" eb="2">
      <t>ジメン</t>
    </rPh>
    <rPh sb="3" eb="4">
      <t>タカ</t>
    </rPh>
    <rPh sb="6" eb="8">
      <t>ケイジョウ</t>
    </rPh>
    <rPh sb="9" eb="10">
      <t>モット</t>
    </rPh>
    <rPh sb="10" eb="11">
      <t>シタ</t>
    </rPh>
    <rPh sb="11" eb="12">
      <t>テン</t>
    </rPh>
    <rPh sb="15" eb="19">
      <t>キョリシテイ</t>
    </rPh>
    <phoneticPr fontId="1"/>
  </si>
  <si>
    <t>地面の高さを形状の最下点からの距離指定する場合はTrue、絶対座標系を使用する場合はFalse</t>
    <rPh sb="0" eb="2">
      <t>ジメン</t>
    </rPh>
    <rPh sb="3" eb="4">
      <t>タカ</t>
    </rPh>
    <rPh sb="6" eb="8">
      <t>ケイジョウ</t>
    </rPh>
    <rPh sb="9" eb="10">
      <t>モット</t>
    </rPh>
    <rPh sb="10" eb="11">
      <t>シタ</t>
    </rPh>
    <rPh sb="11" eb="12">
      <t>テン</t>
    </rPh>
    <rPh sb="15" eb="19">
      <t>キョリシテイ</t>
    </rPh>
    <rPh sb="21" eb="23">
      <t>バアイ</t>
    </rPh>
    <rPh sb="29" eb="34">
      <t>ゼッタイザヒョウケイ</t>
    </rPh>
    <rPh sb="35" eb="37">
      <t>シヨウ</t>
    </rPh>
    <rPh sb="39" eb="41">
      <t>バアイ</t>
    </rPh>
    <phoneticPr fontId="1"/>
  </si>
  <si>
    <t>地面の高さの指定。ground_height_from_zMinがTrueの場合は、最下点からの距離を、Falseの場合はZ座標を入力。</t>
    <rPh sb="0" eb="2">
      <t>ジメン</t>
    </rPh>
    <rPh sb="3" eb="4">
      <t>タカ</t>
    </rPh>
    <rPh sb="6" eb="8">
      <t>シテイ</t>
    </rPh>
    <rPh sb="38" eb="40">
      <t>バアイ</t>
    </rPh>
    <rPh sb="42" eb="43">
      <t>モット</t>
    </rPh>
    <rPh sb="43" eb="44">
      <t>シタ</t>
    </rPh>
    <rPh sb="44" eb="45">
      <t>テン</t>
    </rPh>
    <rPh sb="48" eb="50">
      <t>キョリ</t>
    </rPh>
    <rPh sb="58" eb="60">
      <t>バアイ</t>
    </rPh>
    <rPh sb="62" eb="64">
      <t>ザヒョウ</t>
    </rPh>
    <rPh sb="65" eb="67">
      <t>ニュウリョク</t>
    </rPh>
    <phoneticPr fontId="1"/>
  </si>
  <si>
    <t>calculate_ground_height_from_zMin</t>
    <phoneticPr fontId="1"/>
  </si>
  <si>
    <t>trianglePlinth</t>
  </si>
  <si>
    <t>triangleSplitting</t>
    <phoneticPr fontId="1"/>
  </si>
  <si>
    <t>transitionLayers</t>
    <phoneticPr fontId="1"/>
  </si>
  <si>
    <t>False推奨</t>
    <rPh sb="5" eb="7">
      <t>スイショウ</t>
    </rPh>
    <phoneticPr fontId="1"/>
  </si>
  <si>
    <t>Recommended True for External aero cases, False for GHN.</t>
    <phoneticPr fontId="1"/>
  </si>
  <si>
    <t>Name</t>
    <phoneticPr fontId="1"/>
  </si>
  <si>
    <t>Enable</t>
    <phoneticPr fontId="1"/>
  </si>
  <si>
    <t>Pressure</t>
  </si>
  <si>
    <t>Standard deviation</t>
    <phoneticPr fontId="1"/>
  </si>
  <si>
    <t>Variance</t>
    <phoneticPr fontId="1"/>
  </si>
  <si>
    <t>Time average pressure</t>
    <phoneticPr fontId="1"/>
  </si>
  <si>
    <t>Window average pressure</t>
    <phoneticPr fontId="1"/>
  </si>
  <si>
    <t>Volume velocity</t>
    <phoneticPr fontId="1"/>
  </si>
  <si>
    <t>Time average velocity</t>
    <phoneticPr fontId="1"/>
  </si>
  <si>
    <t>Window average velocity</t>
    <phoneticPr fontId="1"/>
  </si>
  <si>
    <t>Mesh displacement</t>
    <phoneticPr fontId="1"/>
  </si>
  <si>
    <t>Temperature</t>
    <phoneticPr fontId="1"/>
  </si>
  <si>
    <t>Time average temperature</t>
    <phoneticPr fontId="1"/>
  </si>
  <si>
    <t>Window average temperature</t>
    <phoneticPr fontId="1"/>
  </si>
  <si>
    <t>Velocity</t>
    <phoneticPr fontId="1"/>
  </si>
  <si>
    <t>Wall shear stress</t>
    <phoneticPr fontId="1"/>
  </si>
  <si>
    <t>Time average wall shear stress</t>
    <phoneticPr fontId="1"/>
  </si>
  <si>
    <t>Window average wall shear stress</t>
    <phoneticPr fontId="1"/>
  </si>
  <si>
    <t>Surface normal</t>
    <phoneticPr fontId="1"/>
  </si>
  <si>
    <t>Boolean</t>
    <phoneticPr fontId="1"/>
  </si>
  <si>
    <t>Mesh Data</t>
    <phoneticPr fontId="1"/>
  </si>
  <si>
    <t>Output Variables</t>
    <phoneticPr fontId="1"/>
  </si>
  <si>
    <t>coarsest_voxel_size</t>
    <phoneticPr fontId="1"/>
  </si>
  <si>
    <t>Start time[s]</t>
    <phoneticPr fontId="1"/>
  </si>
  <si>
    <t>Output interval</t>
    <phoneticPr fontId="1"/>
  </si>
  <si>
    <t>Merge output</t>
    <phoneticPr fontId="1"/>
  </si>
  <si>
    <t>Output format</t>
    <phoneticPr fontId="1"/>
  </si>
  <si>
    <t>Lamda 2</t>
  </si>
  <si>
    <t>Q Criterion</t>
    <phoneticPr fontId="1"/>
  </si>
  <si>
    <t>*Lambda2 (Available from 2026.0~)</t>
    <phoneticPr fontId="1"/>
  </si>
  <si>
    <t>(Available from 2026.0~)</t>
  </si>
  <si>
    <t>export_time_avg_partial_volume_outputs</t>
    <phoneticPr fontId="1"/>
  </si>
  <si>
    <t>Export partial average volume output</t>
    <phoneticPr fontId="1"/>
  </si>
  <si>
    <t>Full dataとは別に、VolumeのPartial outputを出力する場合は、TRUE</t>
    <rPh sb="11" eb="12">
      <t>ベツ</t>
    </rPh>
    <rPh sb="36" eb="38">
      <t>シュツリョク</t>
    </rPh>
    <rPh sb="40" eb="42">
      <t>バアイ</t>
    </rPh>
    <phoneticPr fontId="1"/>
  </si>
  <si>
    <t>Note:</t>
  </si>
  <si>
    <t>= User Input</t>
  </si>
  <si>
    <r>
      <t xml:space="preserve">= Use for setup in uFX .xml input solver deck for </t>
    </r>
    <r>
      <rPr>
        <sz val="9"/>
        <color theme="1"/>
        <rFont val="Courier New"/>
        <family val="3"/>
      </rPr>
      <t>&lt;keyword&gt;</t>
    </r>
    <r>
      <rPr>
        <sz val="11"/>
        <color theme="1"/>
        <rFont val="Aptos Narrow"/>
        <family val="2"/>
        <charset val="128"/>
        <scheme val="minor"/>
      </rPr>
      <t xml:space="preserve"> entry</t>
    </r>
  </si>
  <si>
    <t>General Parameters</t>
  </si>
  <si>
    <t>Transient Output Configuration and Specification</t>
  </si>
  <si>
    <t>Further Output Information and Calculations</t>
  </si>
  <si>
    <t>Air Properties</t>
  </si>
  <si>
    <t>Output Type</t>
  </si>
  <si>
    <t>Recording Length</t>
  </si>
  <si>
    <t>Recording Start</t>
  </si>
  <si>
    <t>Recording End</t>
  </si>
  <si>
    <t>Desired Sampling Frequency</t>
  </si>
  <si>
    <t>Effective Output Frequency</t>
  </si>
  <si>
    <t>Number of Samples in Output File</t>
  </si>
  <si>
    <t>Sampling Frequency Coarsest RL</t>
  </si>
  <si>
    <r>
      <rPr>
        <b/>
        <sz val="11"/>
        <color theme="2" tint="-0.499984740745262"/>
        <rFont val="Aptos Narrow"/>
        <family val="2"/>
      </rPr>
      <t>Δ</t>
    </r>
    <r>
      <rPr>
        <b/>
        <i/>
        <sz val="11"/>
        <color theme="2" tint="-0.499984740745262"/>
        <rFont val="Aptos Narrow"/>
        <family val="2"/>
        <scheme val="minor"/>
      </rPr>
      <t>t</t>
    </r>
    <r>
      <rPr>
        <b/>
        <sz val="11"/>
        <color theme="2" tint="-0.499984740745262"/>
        <rFont val="Aptos Narrow"/>
        <family val="2"/>
        <scheme val="minor"/>
      </rPr>
      <t xml:space="preserve"> Sampling Finest RL</t>
    </r>
  </si>
  <si>
    <t>Minimum Achievable Sampling Frequency</t>
  </si>
  <si>
    <t xml:space="preserve">Desired Output Frequency </t>
  </si>
  <si>
    <t>RL Closest To Desired Frequency</t>
  </si>
  <si>
    <t>Error on Frequency</t>
  </si>
  <si>
    <t>Density</t>
  </si>
  <si>
    <t>[kg/m³]</t>
  </si>
  <si>
    <t>&lt;output_start_iteration&gt;</t>
  </si>
  <si>
    <t>&lt;output_frequency&gt;</t>
  </si>
  <si>
    <t>[-]</t>
  </si>
  <si>
    <t>[Hz]</t>
  </si>
  <si>
    <t>[s]</t>
  </si>
  <si>
    <r>
      <t>[TS</t>
    </r>
    <r>
      <rPr>
        <vertAlign val="subscript"/>
        <sz val="11"/>
        <color theme="2" tint="-0.499984740745262"/>
        <rFont val="Aptos Narrow"/>
        <family val="2"/>
        <scheme val="minor"/>
      </rPr>
      <t>coarsest</t>
    </r>
    <r>
      <rPr>
        <sz val="11"/>
        <color theme="2" tint="-0.499984740745262"/>
        <rFont val="Aptos Narrow"/>
        <family val="2"/>
        <scheme val="minor"/>
      </rPr>
      <t>]</t>
    </r>
  </si>
  <si>
    <t>Dynamic Viscosity</t>
  </si>
  <si>
    <r>
      <t xml:space="preserve">[N/m² s] </t>
    </r>
    <r>
      <rPr>
        <sz val="9"/>
        <color theme="1"/>
        <rFont val="Aptos Narrow"/>
        <family val="2"/>
        <scheme val="minor"/>
      </rPr>
      <t>= [kg/(m s)]</t>
    </r>
  </si>
  <si>
    <r>
      <t>[TS</t>
    </r>
    <r>
      <rPr>
        <vertAlign val="subscript"/>
        <sz val="11"/>
        <color theme="1"/>
        <rFont val="Aptos Narrow"/>
        <family val="2"/>
        <scheme val="minor"/>
      </rPr>
      <t>coarsest</t>
    </r>
    <r>
      <rPr>
        <sz val="11"/>
        <color theme="1"/>
        <rFont val="Aptos Narrow"/>
        <family val="2"/>
        <charset val="128"/>
        <scheme val="minor"/>
      </rPr>
      <t>]</t>
    </r>
  </si>
  <si>
    <t>Temperature</t>
  </si>
  <si>
    <t>[°C]</t>
  </si>
  <si>
    <t>Probe</t>
  </si>
  <si>
    <t>[K]</t>
  </si>
  <si>
    <t>Section Cut</t>
  </si>
  <si>
    <t>Specific Gas Constant</t>
  </si>
  <si>
    <t>[J/(kg K)]</t>
  </si>
  <si>
    <t>Surface</t>
  </si>
  <si>
    <t>Speed of sound</t>
  </si>
  <si>
    <t>[m/s]</t>
  </si>
  <si>
    <t>Volume</t>
  </si>
  <si>
    <t>RL</t>
  </si>
  <si>
    <t>Resolution</t>
  </si>
  <si>
    <r>
      <t>2</t>
    </r>
    <r>
      <rPr>
        <b/>
        <i/>
        <vertAlign val="superscript"/>
        <sz val="11"/>
        <color theme="2" tint="-0.499984740745262"/>
        <rFont val="Aptos Narrow"/>
        <family val="2"/>
        <scheme val="minor"/>
      </rPr>
      <t>N</t>
    </r>
  </si>
  <si>
    <r>
      <t>1/2</t>
    </r>
    <r>
      <rPr>
        <b/>
        <i/>
        <vertAlign val="superscript"/>
        <sz val="11"/>
        <color theme="2" tint="-0.499984740745262"/>
        <rFont val="Aptos Narrow"/>
        <family val="2"/>
        <scheme val="minor"/>
      </rPr>
      <t>N</t>
    </r>
  </si>
  <si>
    <r>
      <t xml:space="preserve">Frequency Level </t>
    </r>
    <r>
      <rPr>
        <b/>
        <i/>
        <sz val="11"/>
        <color theme="2" tint="-0.499984740745262"/>
        <rFont val="Aptos Narrow"/>
        <family val="2"/>
        <scheme val="minor"/>
      </rPr>
      <t>N</t>
    </r>
    <r>
      <rPr>
        <b/>
        <sz val="11"/>
        <color theme="2" tint="-0.499984740745262"/>
        <rFont val="Aptos Narrow"/>
        <family val="2"/>
        <scheme val="minor"/>
      </rPr>
      <t xml:space="preserve"> </t>
    </r>
  </si>
  <si>
    <r>
      <rPr>
        <b/>
        <sz val="11"/>
        <color theme="2" tint="-0.499984740745262"/>
        <rFont val="Aptos Narrow"/>
        <family val="2"/>
      </rPr>
      <t>Δ</t>
    </r>
    <r>
      <rPr>
        <b/>
        <i/>
        <sz val="11"/>
        <color theme="2" tint="-0.499984740745262"/>
        <rFont val="Aptos Narrow"/>
        <family val="2"/>
        <scheme val="minor"/>
      </rPr>
      <t>t</t>
    </r>
    <r>
      <rPr>
        <b/>
        <sz val="11"/>
        <color theme="2" tint="-0.499984740745262"/>
        <rFont val="Aptos Narrow"/>
        <family val="2"/>
        <scheme val="minor"/>
      </rPr>
      <t xml:space="preserve"> Level </t>
    </r>
    <r>
      <rPr>
        <b/>
        <i/>
        <sz val="11"/>
        <color theme="2" tint="-0.499984740745262"/>
        <rFont val="Aptos Narrow"/>
        <family val="2"/>
        <scheme val="minor"/>
      </rPr>
      <t>N</t>
    </r>
  </si>
  <si>
    <t>Simulation Parameters</t>
  </si>
  <si>
    <t>General Output Specification</t>
  </si>
  <si>
    <t>[m]</t>
  </si>
  <si>
    <t>[kHz]</t>
  </si>
  <si>
    <t>Simulation Time</t>
  </si>
  <si>
    <t>Finest resolution</t>
  </si>
  <si>
    <t>[mm]</t>
  </si>
  <si>
    <t>Time Averaging Start Time</t>
  </si>
  <si>
    <t>Time Averaging Window Size</t>
  </si>
  <si>
    <t>Output Start Time</t>
  </si>
  <si>
    <t>Output Frequency</t>
  </si>
  <si>
    <t>Number of RLs</t>
  </si>
  <si>
    <t>&lt;avg_start_coarsest_iteration&gt;</t>
  </si>
  <si>
    <t>&lt;avg_window_size&gt;</t>
  </si>
  <si>
    <t>Coarsest resolution</t>
  </si>
  <si>
    <r>
      <t>[TS</t>
    </r>
    <r>
      <rPr>
        <vertAlign val="subscript"/>
        <sz val="11"/>
        <rFont val="Aptos Narrow"/>
        <family val="2"/>
        <scheme val="minor"/>
      </rPr>
      <t>coarsest</t>
    </r>
    <r>
      <rPr>
        <sz val="11"/>
        <rFont val="Aptos Narrow"/>
        <family val="2"/>
        <scheme val="minor"/>
      </rPr>
      <t>]</t>
    </r>
  </si>
  <si>
    <t>General</t>
  </si>
  <si>
    <r>
      <t>Time step size (coarsest) (TS</t>
    </r>
    <r>
      <rPr>
        <b/>
        <vertAlign val="subscript"/>
        <sz val="11"/>
        <color theme="1"/>
        <rFont val="Aptos Narrow"/>
        <family val="2"/>
        <scheme val="minor"/>
      </rPr>
      <t>coarsest</t>
    </r>
    <r>
      <rPr>
        <b/>
        <sz val="11"/>
        <color theme="1"/>
        <rFont val="Aptos Narrow"/>
        <family val="2"/>
        <scheme val="minor"/>
      </rPr>
      <t>)</t>
    </r>
  </si>
  <si>
    <t>[ms]</t>
  </si>
  <si>
    <r>
      <t xml:space="preserve">Number of time steps (coarsest)
</t>
    </r>
    <r>
      <rPr>
        <sz val="9"/>
        <color theme="1"/>
        <rFont val="Courier New"/>
        <family val="3"/>
      </rPr>
      <t>&lt;num_coarsest_iterations&gt;</t>
    </r>
  </si>
  <si>
    <t>Front Sideglass</t>
    <phoneticPr fontId="1"/>
  </si>
  <si>
    <t>parts_include</t>
    <phoneticPr fontId="1"/>
  </si>
  <si>
    <t>parts_exclude</t>
    <phoneticPr fontId="1"/>
  </si>
  <si>
    <t>読み込むSTLファイルの名称を入力。入力データが複数ある場合は、コンマで区切る。</t>
    <rPh sb="0" eb="1">
      <t>ヨ</t>
    </rPh>
    <rPh sb="2" eb="3">
      <t>コ</t>
    </rPh>
    <rPh sb="12" eb="14">
      <t>メイショウ</t>
    </rPh>
    <rPh sb="15" eb="17">
      <t>ニュウリョク</t>
    </rPh>
    <rPh sb="18" eb="20">
      <t>ニュウリョク</t>
    </rPh>
    <rPh sb="24" eb="26">
      <t>フクスウ</t>
    </rPh>
    <rPh sb="28" eb="30">
      <t>バアイ</t>
    </rPh>
    <rPh sb="36" eb="38">
      <t>クギ</t>
    </rPh>
    <phoneticPr fontId="1"/>
  </si>
  <si>
    <t>左フロントタイヤを指定するIDを入力。（Wheelベルトの位置自動計算計算 or Overset meshの設定をする場合は必須。）、コンマ区切りによる、複数部品の指定不可。</t>
    <rPh sb="0" eb="1">
      <t>ヒダリ</t>
    </rPh>
    <rPh sb="9" eb="11">
      <t>シテイ</t>
    </rPh>
    <rPh sb="16" eb="18">
      <t>ニュウリョク</t>
    </rPh>
    <rPh sb="29" eb="31">
      <t>イチ</t>
    </rPh>
    <rPh sb="31" eb="35">
      <t>ジドウケイサン</t>
    </rPh>
    <rPh sb="35" eb="37">
      <t>ケイサン</t>
    </rPh>
    <rPh sb="54" eb="56">
      <t>セッテイ</t>
    </rPh>
    <rPh sb="59" eb="61">
      <t>バアイ</t>
    </rPh>
    <rPh sb="62" eb="64">
      <t>ヒッス</t>
    </rPh>
    <rPh sb="70" eb="72">
      <t>クギ</t>
    </rPh>
    <rPh sb="77" eb="79">
      <t>フクスウ</t>
    </rPh>
    <rPh sb="79" eb="81">
      <t>ブヒン</t>
    </rPh>
    <rPh sb="82" eb="84">
      <t>シテイ</t>
    </rPh>
    <rPh sb="84" eb="86">
      <t>フカ</t>
    </rPh>
    <phoneticPr fontId="1"/>
  </si>
  <si>
    <t>右フロントタイヤを指定するIDを入力。（Wheelベルトの位置自動計算計算 or Overset meshの設定をする場合は必須。）、コンマ区切りによる、複数部品の指定不可。</t>
    <rPh sb="0" eb="1">
      <t>ミギ</t>
    </rPh>
    <phoneticPr fontId="1"/>
  </si>
  <si>
    <t>左リアタイヤを指定するIDを入力。（Wheelベルトの位置自動計算計算 or Overset meshの設定をする場合は必須。）、コンマ区切りによる、複数部品の指定不可。</t>
    <rPh sb="0" eb="1">
      <t>ヒダリ</t>
    </rPh>
    <phoneticPr fontId="1"/>
  </si>
  <si>
    <t>右リアタイヤを指定するIDを入力。（Wheelベルトの位置自動計算計算 or Overset meshの設定をする場合は必須。）、コンマ区切りによる、複数部品の指定不可。</t>
    <rPh sb="0" eb="1">
      <t>ミギ</t>
    </rPh>
    <phoneticPr fontId="1"/>
  </si>
  <si>
    <t>Overset Mesh領域を設定する場合、Overset mesh領域を指定するパーツのIDを入力。、コンマ区切りによる、複数部品の指定不可。</t>
    <rPh sb="12" eb="14">
      <t>リョウイキ</t>
    </rPh>
    <rPh sb="15" eb="17">
      <t>セッテイ</t>
    </rPh>
    <rPh sb="19" eb="21">
      <t>バアイ</t>
    </rPh>
    <rPh sb="34" eb="36">
      <t>リョウイキ</t>
    </rPh>
    <rPh sb="37" eb="39">
      <t>シテイ</t>
    </rPh>
    <rPh sb="48" eb="50">
      <t>ニュウリョク</t>
    </rPh>
    <phoneticPr fontId="1"/>
  </si>
  <si>
    <t>バッフル（厚み0）部品を指定するIDを入力。入力データが複数ある場合は、コンマで区切る。</t>
    <rPh sb="5" eb="6">
      <t>アツ</t>
    </rPh>
    <rPh sb="9" eb="11">
      <t>ブヒン</t>
    </rPh>
    <rPh sb="12" eb="14">
      <t>シテイ</t>
    </rPh>
    <rPh sb="19" eb="21">
      <t>ニュウリョク</t>
    </rPh>
    <phoneticPr fontId="1"/>
  </si>
  <si>
    <t>Wheel_</t>
    <phoneticPr fontId="1"/>
  </si>
  <si>
    <t>Monitor</t>
    <phoneticPr fontId="1"/>
  </si>
  <si>
    <t>Output Variables Visual</t>
    <phoneticPr fontId="1"/>
  </si>
  <si>
    <t>Visual</t>
    <phoneticPr fontId="1"/>
  </si>
  <si>
    <t>Summary</t>
    <phoneticPr fontId="1"/>
  </si>
  <si>
    <t>Visual Start time[s]</t>
    <phoneticPr fontId="1"/>
  </si>
  <si>
    <t>Visual Output interval</t>
    <phoneticPr fontId="1"/>
  </si>
  <si>
    <t>Visual Output format</t>
    <phoneticPr fontId="1"/>
  </si>
  <si>
    <t>Summary Start time[s]</t>
    <phoneticPr fontId="1"/>
  </si>
  <si>
    <t>Summary Output interval</t>
    <phoneticPr fontId="1"/>
  </si>
  <si>
    <t>Output Variables Summary</t>
    <phoneticPr fontId="1"/>
  </si>
  <si>
    <t>Visual_Pressure</t>
  </si>
  <si>
    <t>Summary_Pressure</t>
  </si>
  <si>
    <t>Visual_Pressure standard deviation</t>
    <phoneticPr fontId="1"/>
  </si>
  <si>
    <t>Visual_Pressure variance</t>
  </si>
  <si>
    <t>Visual_Time average pressure</t>
  </si>
  <si>
    <t>Visual_Window average pressure</t>
  </si>
  <si>
    <t>Visual_Velocity</t>
  </si>
  <si>
    <t>Visual_Time average velocity</t>
  </si>
  <si>
    <t>Visual_Window average velocity</t>
  </si>
  <si>
    <t>Visual_Mass flow</t>
  </si>
  <si>
    <t>Visual_Time average mass flow</t>
  </si>
  <si>
    <t>Visual_Window average mass flow</t>
  </si>
  <si>
    <t>Visual_Normal velocity</t>
  </si>
  <si>
    <t>Visual_Time average normal velocity</t>
  </si>
  <si>
    <t>Visual_Window average normal velocity</t>
  </si>
  <si>
    <t>Visual_Temperature</t>
  </si>
  <si>
    <t>Visual_Time average temperature</t>
  </si>
  <si>
    <t>Visual_Window average temperature</t>
  </si>
  <si>
    <t>Summary_Pressure standard deviation</t>
  </si>
  <si>
    <t>Summary_Pressure variance</t>
  </si>
  <si>
    <t>Summary_Time average pressure</t>
  </si>
  <si>
    <t>Summary_Window average pressure</t>
  </si>
  <si>
    <t>Summary_Mass flow</t>
  </si>
  <si>
    <t>Summary_Time average mass flow</t>
  </si>
  <si>
    <t>Summary_Window average mass flow</t>
  </si>
  <si>
    <t>Summary_Normal velocity</t>
  </si>
  <si>
    <t>Summary_Time average normal velocity</t>
  </si>
  <si>
    <t>Summary_Window average normal velocity</t>
  </si>
  <si>
    <t>Summary_Temperature</t>
  </si>
  <si>
    <t>Summary_Time average temperature</t>
  </si>
  <si>
    <t>Summary_Window average temperature</t>
  </si>
  <si>
    <t>Visual Merge Output</t>
    <phoneticPr fontId="1"/>
  </si>
  <si>
    <t>ensight</t>
  </si>
  <si>
    <t>VREF_RL7_LHS</t>
    <phoneticPr fontId="1"/>
  </si>
  <si>
    <t>name</t>
    <phoneticPr fontId="1"/>
  </si>
  <si>
    <t>VREF_RL7_Cowl</t>
    <phoneticPr fontId="1"/>
  </si>
  <si>
    <t>VREF_RL7_RHS</t>
    <phoneticPr fontId="1"/>
  </si>
  <si>
    <t>VREF_RL3_Wrap</t>
    <phoneticPr fontId="1"/>
  </si>
  <si>
    <t>VREF_RL4_Wrap</t>
  </si>
  <si>
    <t>VREF_RL5_Wrap</t>
    <phoneticPr fontId="1"/>
  </si>
  <si>
    <t>Name have to match with part name.</t>
    <phoneticPr fontId="1"/>
  </si>
  <si>
    <t>Only one part can be applied per custom refinement setting.</t>
    <phoneticPr fontId="1"/>
  </si>
  <si>
    <t>data</t>
    <phoneticPr fontId="1"/>
  </si>
  <si>
    <t>simulationName</t>
    <phoneticPr fontId="1"/>
  </si>
  <si>
    <t>解析ファイルの名称</t>
    <rPh sb="0" eb="2">
      <t>カイセキ</t>
    </rPh>
    <rPh sb="7" eb="9">
      <t>メイショウ</t>
    </rPh>
    <phoneticPr fontId="1"/>
  </si>
  <si>
    <t>解析ファイルの名称、xmlファイルの名称として引き継がれる</t>
    <rPh sb="0" eb="2">
      <t>カイセキ</t>
    </rPh>
    <rPh sb="7" eb="9">
      <t>メイショウ</t>
    </rPh>
    <rPh sb="18" eb="20">
      <t>メイショウ</t>
    </rPh>
    <rPh sb="23" eb="24">
      <t>ヒ</t>
    </rPh>
    <rPh sb="25" eb="26">
      <t>ツ</t>
    </rPh>
    <phoneticPr fontId="1"/>
  </si>
  <si>
    <t>simulationRunPath</t>
    <phoneticPr fontId="1"/>
  </si>
  <si>
    <t>出力フォルダーのパス</t>
    <rPh sb="0" eb="2">
      <t>シュツリョク</t>
    </rPh>
    <phoneticPr fontId="1"/>
  </si>
  <si>
    <t>出力フォルダーのパスを指定。DATA_FOLDERのパスからの相対位置となります。</t>
    <rPh sb="0" eb="2">
      <t>シュツリョク</t>
    </rPh>
    <rPh sb="11" eb="13">
      <t>シテイ</t>
    </rPh>
    <rPh sb="31" eb="35">
      <t>ソウタイイチ</t>
    </rPh>
    <phoneticPr fontId="1"/>
  </si>
  <si>
    <t>Recommended 0.192 m for external aero cases, 0.256 m for GHN</t>
    <phoneticPr fontId="1"/>
  </si>
  <si>
    <t>output_coarsening for fullData</t>
    <phoneticPr fontId="1"/>
  </si>
  <si>
    <t>coarsest_target_refinement_level</t>
    <phoneticPr fontId="1"/>
  </si>
  <si>
    <t>coarsen_by_num_refinement_levels</t>
    <phoneticPr fontId="1"/>
  </si>
  <si>
    <t>output_coarsening</t>
    <phoneticPr fontId="1"/>
  </si>
  <si>
    <t>box_size</t>
    <phoneticPr fontId="1"/>
  </si>
  <si>
    <t>box_mirror</t>
    <phoneticPr fontId="1"/>
  </si>
  <si>
    <t>box_size_with_parts_and_factors</t>
    <phoneticPr fontId="1"/>
  </si>
  <si>
    <t>Pressure</t>
    <phoneticPr fontId="1"/>
  </si>
  <si>
    <t>Lamda 3</t>
    <phoneticPr fontId="1"/>
  </si>
  <si>
    <t>Lamda 2</t>
    <phoneticPr fontId="1"/>
  </si>
  <si>
    <t>Lamda 1</t>
    <phoneticPr fontId="1"/>
  </si>
  <si>
    <t>Vorticity Magnitude</t>
    <phoneticPr fontId="1"/>
  </si>
  <si>
    <t>Vorticity</t>
    <phoneticPr fontId="1"/>
  </si>
  <si>
    <t>Pressure variance</t>
    <phoneticPr fontId="1"/>
  </si>
  <si>
    <t>Pressure standard deviation</t>
    <phoneticPr fontId="1"/>
  </si>
  <si>
    <t>1ベルトの設定の際、地面をno-slipの移動床にする場合は、True。Slipにする場合はFalse。</t>
    <rPh sb="5" eb="7">
      <t>セッテイ</t>
    </rPh>
    <rPh sb="8" eb="9">
      <t>サイ</t>
    </rPh>
    <rPh sb="10" eb="12">
      <t>ジメン</t>
    </rPh>
    <rPh sb="21" eb="24">
      <t>イドウユカ</t>
    </rPh>
    <rPh sb="27" eb="29">
      <t>バアイ</t>
    </rPh>
    <rPh sb="43" eb="45">
      <t>バアイ</t>
    </rPh>
    <phoneticPr fontId="1"/>
  </si>
  <si>
    <t>fullDataの粗化処理を実施する場合はTrue</t>
    <rPh sb="9" eb="10">
      <t>アラ</t>
    </rPh>
    <rPh sb="10" eb="11">
      <t>カ</t>
    </rPh>
    <rPh sb="11" eb="13">
      <t>ショリ</t>
    </rPh>
    <rPh sb="14" eb="16">
      <t>ジッシ</t>
    </rPh>
    <rPh sb="18" eb="20">
      <t>バアイ</t>
    </rPh>
    <phoneticPr fontId="1"/>
  </si>
  <si>
    <t>Defines the refinement level up to which the coarsening should be performed.</t>
    <phoneticPr fontId="1"/>
  </si>
  <si>
    <t>Specifies whether the written output should be coarser by 1 or 2 refinement levels compared to the actual calculation data.</t>
    <phoneticPr fontId="1"/>
  </si>
  <si>
    <t>5ベルトのセンターベルトの中心位置をホイールベース中心とする場合はTrue、原点とする場合はFalse</t>
    <rPh sb="13" eb="17">
      <t>チュウシンイチ</t>
    </rPh>
    <rPh sb="25" eb="27">
      <t>チュウシン</t>
    </rPh>
    <rPh sb="30" eb="32">
      <t>バアイ</t>
    </rPh>
    <rPh sb="38" eb="40">
      <t>ゲンテン</t>
    </rPh>
    <rPh sb="43" eb="45">
      <t>バアイ</t>
    </rPh>
    <phoneticPr fontId="1"/>
  </si>
  <si>
    <t>"True"</t>
  </si>
  <si>
    <t>False</t>
  </si>
  <si>
    <t>True</t>
  </si>
  <si>
    <t>Full partial surface</t>
    <phoneticPr fontId="1"/>
  </si>
  <si>
    <t>Body.stl,Heat_Exchangers.stl,Mirrors.stl,Underhood.stl,VREF.stl,Wheels.stl</t>
    <phoneticPr fontId="1"/>
  </si>
  <si>
    <t>baffle_</t>
    <phoneticPr fontId="1"/>
  </si>
  <si>
    <t>c_HX2</t>
    <phoneticPr fontId="1"/>
  </si>
  <si>
    <t>c_HX1</t>
    <phoneticPr fontId="1"/>
  </si>
  <si>
    <t>surface_RL9</t>
    <phoneticPr fontId="1"/>
  </si>
  <si>
    <t>c_glass_SG_front_LHS</t>
    <phoneticPr fontId="1"/>
  </si>
  <si>
    <t>c_glass_SG_front_LHS,c_apillar_LHS,c_roofline_front_LHS,c_bpillar_LHS,c_glass_windshield_LHS,c_roof_to_window_LHS,c_mirror_LHS</t>
    <phoneticPr fontId="1"/>
  </si>
  <si>
    <t>surface_RL8</t>
    <phoneticPr fontId="1"/>
  </si>
  <si>
    <t>surface_RL7</t>
    <phoneticPr fontId="1"/>
  </si>
  <si>
    <t>Solution type</t>
    <phoneticPr fontId="1"/>
  </si>
  <si>
    <t>solution_type</t>
    <phoneticPr fontId="1"/>
  </si>
  <si>
    <t>c_mirror_LHS,c_apillar_LHS,c_roofline_front_LHS</t>
    <phoneticPr fontId="1"/>
  </si>
  <si>
    <t>c_glass_SG_front_,c_apillar_,c_roofline_front_,c_bpillar_,c_glass_windshield_,c_mirror_,c_hood,</t>
    <phoneticPr fontId="1"/>
  </si>
  <si>
    <t>c_glass_SG_front_,c_apillar_,c_roofline_front_,c_bpillar_,c_glass_windshield_,c_mirror_,c_hood,c_upperbody_front_,c_frontbody1_LHS,c_front_,c_grill</t>
    <phoneticPr fontId="1"/>
  </si>
  <si>
    <t>-0.05,0.05,-0.6,0.05,-0.1,0.1</t>
    <phoneticPr fontId="1"/>
  </si>
  <si>
    <t>Output start time in second</t>
    <phoneticPr fontId="1"/>
  </si>
  <si>
    <t>output_start_time</t>
    <phoneticPr fontId="1"/>
  </si>
  <si>
    <t>fullDataの出力を開始する時間を指定する</t>
    <rPh sb="9" eb="11">
      <t>シュツリョク</t>
    </rPh>
    <rPh sb="12" eb="14">
      <t>カイシ</t>
    </rPh>
    <rPh sb="16" eb="18">
      <t>ジカン</t>
    </rPh>
    <rPh sb="19" eb="21">
      <t>シテイ</t>
    </rPh>
    <phoneticPr fontId="1"/>
  </si>
  <si>
    <t>Output interval in second</t>
    <phoneticPr fontId="1"/>
  </si>
  <si>
    <t>output_interval_time</t>
    <phoneticPr fontId="1"/>
  </si>
  <si>
    <t>fullDataの出力頻度を時間で指定する</t>
    <rPh sb="9" eb="13">
      <t>シュツリョクヒンド</t>
    </rPh>
    <rPh sb="14" eb="16">
      <t>ジカン</t>
    </rPh>
    <rPh sb="17" eb="19">
      <t>シテイ</t>
    </rPh>
    <phoneticPr fontId="1"/>
  </si>
  <si>
    <t>車両周り・地面の解像度のデフォルト設定を選択（Mesh_Control内の設定を除く</t>
    <rPh sb="0" eb="3">
      <t>シャリョウマワ</t>
    </rPh>
    <rPh sb="5" eb="7">
      <t>ジメン</t>
    </rPh>
    <rPh sb="8" eb="11">
      <t>カイゾウド</t>
    </rPh>
    <rPh sb="17" eb="19">
      <t>セッテイ</t>
    </rPh>
    <rPh sb="20" eb="22">
      <t>センタク</t>
    </rPh>
    <rPh sb="35" eb="36">
      <t>ナイ</t>
    </rPh>
    <rPh sb="37" eb="39">
      <t>セッテイ</t>
    </rPh>
    <rPh sb="40" eb="41">
      <t>ノゾ</t>
    </rPh>
    <phoneticPr fontId="1"/>
  </si>
  <si>
    <t>maxRelativeEdgeLength</t>
    <phoneticPr fontId="1"/>
  </si>
  <si>
    <t>windtunnel_parts</t>
    <phoneticPr fontId="1"/>
  </si>
  <si>
    <t>Baffle_Collector_</t>
    <phoneticPr fontId="1"/>
  </si>
  <si>
    <t>Windtunnelの部品を再現する場合、そのパーツIDを入力。Passive partsとして設定され、六分力計算、メッシュ解像度のサーフェスオフセット領域、車長計算、車高調整の対象から除外される。</t>
    <rPh sb="11" eb="13">
      <t>ブヒン</t>
    </rPh>
    <rPh sb="14" eb="16">
      <t>サイゲン</t>
    </rPh>
    <rPh sb="18" eb="20">
      <t>バアイ</t>
    </rPh>
    <rPh sb="29" eb="31">
      <t>ニュウリョク</t>
    </rPh>
    <rPh sb="53" eb="58">
      <t>ロクブンリョクケイサン</t>
    </rPh>
    <rPh sb="63" eb="66">
      <t>カイゾウド</t>
    </rPh>
    <rPh sb="77" eb="79">
      <t>リョウイキ</t>
    </rPh>
    <rPh sb="80" eb="82">
      <t>シャチョウ</t>
    </rPh>
    <rPh sb="82" eb="84">
      <t>ケイサン</t>
    </rPh>
    <rPh sb="85" eb="89">
      <t>シャコウチョウセイ</t>
    </rPh>
    <rPh sb="90" eb="92">
      <t>タイショウ</t>
    </rPh>
    <rPh sb="94" eb="96">
      <t>ジョガイ</t>
    </rPh>
    <phoneticPr fontId="1"/>
  </si>
  <si>
    <t>Output controls</t>
    <phoneticPr fontId="1"/>
  </si>
  <si>
    <t>output_format</t>
    <phoneticPr fontId="1"/>
  </si>
  <si>
    <t>fullDataの出力フォーマットを指定。</t>
    <rPh sb="9" eb="11">
      <t>シュツリョク</t>
    </rPh>
    <rPh sb="18" eb="20">
      <t>シテイ</t>
    </rPh>
    <phoneticPr fontId="1"/>
  </si>
  <si>
    <t>export_bounds_active</t>
    <phoneticPr fontId="1"/>
  </si>
  <si>
    <t>Export car projected boundary</t>
    <phoneticPr fontId="1"/>
  </si>
  <si>
    <t>空力係数の分布出力の際に、車両の外形のMin/Max情報を出力する場合はTrue</t>
    <rPh sb="0" eb="4">
      <t>クウリキケイスウ</t>
    </rPh>
    <rPh sb="5" eb="9">
      <t>ブンプシュツリョク</t>
    </rPh>
    <rPh sb="10" eb="11">
      <t>サイ</t>
    </rPh>
    <rPh sb="13" eb="15">
      <t>シャリョウ</t>
    </rPh>
    <rPh sb="16" eb="18">
      <t>ガイケイ</t>
    </rPh>
    <rPh sb="26" eb="28">
      <t>ジョウホウ</t>
    </rPh>
    <rPh sb="29" eb="31">
      <t>シュツリョク</t>
    </rPh>
    <rPh sb="33" eb="35">
      <t>バアイ</t>
    </rPh>
    <phoneticPr fontId="1"/>
  </si>
  <si>
    <t>Output_format</t>
    <phoneticPr fontId="1"/>
  </si>
  <si>
    <t>ensight_and_h3d</t>
  </si>
  <si>
    <t>Baffle_export_option</t>
    <phoneticPr fontId="1"/>
  </si>
  <si>
    <t>all</t>
  </si>
  <si>
    <t>Averaging window size in second</t>
    <phoneticPr fontId="1"/>
  </si>
  <si>
    <t>avg_window_size_second</t>
    <phoneticPr fontId="1"/>
  </si>
  <si>
    <t>Window avaragingのWindowサイズを、時間（sec）指定</t>
    <rPh sb="28" eb="30">
      <t>ジカン</t>
    </rPh>
    <rPh sb="35" eb="37">
      <t>シテイ</t>
    </rPh>
    <phoneticPr fontId="1"/>
  </si>
  <si>
    <t>空力バランス計算時のホイールベース長さを自動計算する場合は、True、そうでない場合はFalse。Solution typeがExternal_aerodynamicsの際に対応。</t>
    <rPh sb="0" eb="2">
      <t>クウリキ</t>
    </rPh>
    <rPh sb="6" eb="9">
      <t>ケイサンジ</t>
    </rPh>
    <rPh sb="17" eb="18">
      <t>ナガ</t>
    </rPh>
    <rPh sb="20" eb="22">
      <t>ジドウ</t>
    </rPh>
    <rPh sb="22" eb="24">
      <t>ケイサン</t>
    </rPh>
    <rPh sb="26" eb="28">
      <t>バアイ</t>
    </rPh>
    <rPh sb="40" eb="42">
      <t>バアイ</t>
    </rPh>
    <rPh sb="85" eb="86">
      <t>サイ</t>
    </rPh>
    <rPh sb="87" eb="89">
      <t>タイオウ</t>
    </rPh>
    <phoneticPr fontId="1"/>
  </si>
  <si>
    <t>Mach factor</t>
    <phoneticPr fontId="1"/>
  </si>
  <si>
    <t>タイヤ・ホイールの壁面回転領域に含めるIDを入力。入力データが複数ある場合は、コンマで区切る。OSMパーツが入らないように注意。</t>
    <rPh sb="9" eb="11">
      <t>ヘキメン</t>
    </rPh>
    <rPh sb="11" eb="15">
      <t>カイテンリョウイキ</t>
    </rPh>
    <rPh sb="16" eb="17">
      <t>フク</t>
    </rPh>
    <rPh sb="25" eb="27">
      <t>ニュウリョク</t>
    </rPh>
    <rPh sb="31" eb="33">
      <t>フクスウ</t>
    </rPh>
    <rPh sb="35" eb="37">
      <t>バアイ</t>
    </rPh>
    <rPh sb="43" eb="45">
      <t>クギニュウリョク</t>
    </rPh>
    <phoneticPr fontId="1"/>
  </si>
  <si>
    <t>GHN</t>
  </si>
  <si>
    <t>RimPartsNames</t>
  </si>
  <si>
    <t>ホイール（リム）を使用して回転軸・中心を取得する場合のみ、ホイールを指定するパーツIDを指定。指定しない場合は、空白にすること。</t>
    <rPh sb="9" eb="11">
      <t>シヨウ</t>
    </rPh>
    <rPh sb="13" eb="15">
      <t>カイテン</t>
    </rPh>
    <rPh sb="15" eb="17">
      <t>チュウシン</t>
    </rPh>
    <rPh sb="18" eb="20">
      <t>シュトク</t>
    </rPh>
    <rPh sb="22" eb="24">
      <t>バアイ</t>
    </rPh>
    <rPh sb="32" eb="34">
      <t>シテイ</t>
    </rPh>
    <rPh sb="42" eb="44">
      <t>シテイ</t>
    </rPh>
    <rPh sb="45" eb="47">
      <t>シテイ</t>
    </rPh>
    <rPh sb="50" eb="52">
      <t>バアイ</t>
    </rPh>
    <rPh sb="54" eb="56">
      <t>クウハク</t>
    </rPh>
    <phoneticPr fontId="1"/>
  </si>
  <si>
    <t>Parameters</t>
  </si>
  <si>
    <t>C:\Users\z0054ymk\OneDrive - Altair Engineering, Inc\PROJECT\C01-TRAINING-DEMO-TEST\B_Training_Materials\CaseSetup-python-API\CX1_GHN</t>
  </si>
  <si>
    <t>CX1_v1.2_GHN</t>
  </si>
  <si>
    <t>../CX1_v1.2_GHN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</si>
</sst>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0E+00"/>
    <numFmt numFmtId="166" formatCode="0.000"/>
    <numFmt numFmtId="167" formatCode="0.000E+00"/>
    <numFmt numFmtId="168" formatCode="0.000000"/>
    <numFmt numFmtId="169" formatCode="0.0%"/>
    <numFmt numFmtId="170" formatCode="0.00000"/>
    <numFmt numFmtId="171" formatCode="0.00000000"/>
    <numFmt numFmtId="172" formatCode="0_);[Red]\(0\)"/>
  </numFmts>
  <fonts count="26" x14ac:knownFonts="1">
    <font>
      <sz val="11"/>
      <color theme="1"/>
      <name val="Aptos Narrow"/>
      <family val="2"/>
      <charset val="128"/>
      <scheme val="minor"/>
    </font>
    <font>
      <sz val="6"/>
      <name val="Aptos Narrow"/>
      <family val="2"/>
      <charset val="128"/>
      <scheme val="minor"/>
    </font>
    <font>
      <b/>
      <sz val="11"/>
      <color theme="1"/>
      <name val="Aptos Narrow"/>
      <family val="3"/>
      <charset val="128"/>
      <scheme val="minor"/>
    </font>
    <font>
      <sz val="11"/>
      <color theme="1"/>
      <name val="Aptos Narrow"/>
      <family val="3"/>
      <charset val="128"/>
      <scheme val="minor"/>
    </font>
    <font>
      <sz val="11"/>
      <color theme="1"/>
      <name val="Aptos Narrow"/>
      <family val="2"/>
      <scheme val="minor"/>
    </font>
    <font>
      <b/>
      <sz val="11"/>
      <color theme="1"/>
      <name val="Aptos Narrow"/>
      <family val="2"/>
      <scheme val="minor"/>
    </font>
    <font>
      <sz val="11"/>
      <color theme="4"/>
      <name val="Aptos Narrow"/>
      <family val="2"/>
      <scheme val="minor"/>
    </font>
    <font>
      <sz val="11"/>
      <color rgb="FF9C5700"/>
      <name val="Aptos Narrow"/>
      <family val="2"/>
      <scheme val="minor"/>
    </font>
    <font>
      <sz val="9"/>
      <color theme="1"/>
      <name val="Courier New"/>
      <family val="3"/>
    </font>
    <font>
      <b/>
      <sz val="11"/>
      <color theme="0"/>
      <name val="Aptos Narrow"/>
      <family val="2"/>
      <scheme val="minor"/>
    </font>
    <font>
      <b/>
      <sz val="11"/>
      <color theme="2"/>
      <name val="Aptos Narrow"/>
      <family val="2"/>
      <scheme val="minor"/>
    </font>
    <font>
      <b/>
      <sz val="11"/>
      <color theme="2" tint="-0.499984740745262"/>
      <name val="Aptos Narrow"/>
      <family val="2"/>
      <scheme val="minor"/>
    </font>
    <font>
      <b/>
      <sz val="11"/>
      <color theme="2" tint="-0.499984740745262"/>
      <name val="Aptos Narrow"/>
      <family val="2"/>
    </font>
    <font>
      <b/>
      <i/>
      <sz val="11"/>
      <color theme="2" tint="-0.499984740745262"/>
      <name val="Aptos Narrow"/>
      <family val="2"/>
      <scheme val="minor"/>
    </font>
    <font>
      <sz val="11"/>
      <color theme="2" tint="-0.499984740745262"/>
      <name val="Aptos Narrow"/>
      <family val="2"/>
      <scheme val="minor"/>
    </font>
    <font>
      <vertAlign val="subscript"/>
      <sz val="11"/>
      <color theme="2" tint="-0.499984740745262"/>
      <name val="Aptos Narrow"/>
      <family val="2"/>
      <scheme val="minor"/>
    </font>
    <font>
      <sz val="9"/>
      <color theme="1"/>
      <name val="Aptos Narrow"/>
      <family val="2"/>
      <scheme val="minor"/>
    </font>
    <font>
      <vertAlign val="subscript"/>
      <sz val="11"/>
      <color theme="1"/>
      <name val="Aptos Narrow"/>
      <family val="2"/>
      <scheme val="minor"/>
    </font>
    <font>
      <sz val="11"/>
      <name val="Aptos Narrow"/>
      <family val="2"/>
      <scheme val="minor"/>
    </font>
    <font>
      <b/>
      <i/>
      <vertAlign val="superscript"/>
      <sz val="11"/>
      <color theme="2" tint="-0.499984740745262"/>
      <name val="Aptos Narrow"/>
      <family val="2"/>
      <scheme val="minor"/>
    </font>
    <font>
      <b/>
      <sz val="11"/>
      <name val="Aptos Narrow"/>
      <family val="2"/>
      <scheme val="minor"/>
    </font>
    <font>
      <sz val="9"/>
      <name val="Courier New"/>
      <family val="3"/>
    </font>
    <font>
      <vertAlign val="subscript"/>
      <sz val="11"/>
      <name val="Aptos Narrow"/>
      <family val="2"/>
      <scheme val="minor"/>
    </font>
    <font>
      <b/>
      <vertAlign val="subscript"/>
      <sz val="11"/>
      <color theme="1"/>
      <name val="Aptos Narrow"/>
      <family val="2"/>
      <scheme val="minor"/>
    </font>
    <font>
      <b/>
      <sz val="9"/>
      <color indexed="81"/>
      <name val="Tahoma"/>
      <family val="2"/>
    </font>
    <font>
      <sz val="9"/>
      <color indexed="81"/>
      <name val="Tahoma"/>
      <family val="2"/>
    </font>
  </fonts>
  <fills count="10">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rgb="FFFFEB9C"/>
      </patternFill>
    </fill>
    <fill>
      <patternFill patternType="solid">
        <fgColor theme="4" tint="0.79998168889431442"/>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bgColor indexed="64"/>
      </patternFill>
    </fill>
  </fills>
  <borders count="4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alignment vertical="center"/>
    </xf>
    <xf numFmtId="0" fontId="4" fillId="0" borderId="0"/>
    <xf numFmtId="0" fontId="6" fillId="5" borderId="0" applyProtection="0">
      <alignment horizontal="center" vertical="center"/>
    </xf>
    <xf numFmtId="0" fontId="7" fillId="4" borderId="0" applyNumberFormat="0" applyBorder="0" applyAlignment="0" applyProtection="0"/>
    <xf numFmtId="9" fontId="4" fillId="0" borderId="0" applyFont="0" applyFill="0" applyBorder="0" applyAlignment="0" applyProtection="0"/>
  </cellStyleXfs>
  <cellXfs count="137">
    <xf numFmtId="0" fontId="0" fillId="0" borderId="0" xfId="0">
      <alignment vertical="center"/>
    </xf>
    <xf numFmtId="0" fontId="2" fillId="0" borderId="0" xfId="0" applyFont="1">
      <alignment vertical="center"/>
    </xf>
    <xf numFmtId="0" fontId="2" fillId="0" borderId="0" xfId="0" applyFont="1" applyAlignment="1">
      <alignment horizontal="center" vertical="center" wrapText="1"/>
    </xf>
    <xf numFmtId="0" fontId="3" fillId="0" borderId="0" xfId="0" applyFont="1">
      <alignment vertical="center"/>
    </xf>
    <xf numFmtId="0" fontId="3" fillId="2" borderId="0" xfId="0" applyFont="1" applyFill="1" applyAlignment="1">
      <alignment vertical="center" wrapText="1"/>
    </xf>
    <xf numFmtId="164" fontId="3" fillId="2" borderId="0" xfId="0" applyNumberFormat="1" applyFont="1" applyFill="1" applyAlignment="1">
      <alignment vertical="center" wrapText="1"/>
    </xf>
    <xf numFmtId="0" fontId="2" fillId="0" borderId="0" xfId="0" applyFont="1" applyAlignment="1">
      <alignment horizontal="left" vertical="center" indent="1"/>
    </xf>
    <xf numFmtId="0" fontId="2" fillId="0" borderId="0" xfId="0" applyFont="1" applyAlignment="1">
      <alignment horizontal="center" vertical="center"/>
    </xf>
    <xf numFmtId="0" fontId="3" fillId="0" borderId="0" xfId="0" applyFont="1" applyAlignment="1">
      <alignment horizontal="center" vertical="center"/>
    </xf>
    <xf numFmtId="0" fontId="0" fillId="2" borderId="0" xfId="0" applyFill="1">
      <alignment vertical="center"/>
    </xf>
    <xf numFmtId="0" fontId="3" fillId="2" borderId="0" xfId="0" applyFont="1" applyFill="1" applyAlignment="1">
      <alignment horizontal="left" vertical="center"/>
    </xf>
    <xf numFmtId="0" fontId="3" fillId="0" borderId="0" xfId="0" applyFont="1" applyAlignment="1">
      <alignment horizontal="left" vertical="center"/>
    </xf>
    <xf numFmtId="0" fontId="3" fillId="3" borderId="0" xfId="0" applyFont="1" applyFill="1">
      <alignment vertical="center"/>
    </xf>
    <xf numFmtId="0" fontId="0" fillId="3" borderId="0" xfId="0" applyFill="1">
      <alignment vertical="center"/>
    </xf>
    <xf numFmtId="0" fontId="3" fillId="3" borderId="0" xfId="0" applyFont="1" applyFill="1" applyAlignment="1">
      <alignment vertical="center" wrapText="1"/>
    </xf>
    <xf numFmtId="0" fontId="2" fillId="3" borderId="0" xfId="0" applyFont="1" applyFill="1">
      <alignment vertical="center"/>
    </xf>
    <xf numFmtId="0" fontId="2" fillId="3" borderId="0" xfId="0" applyFont="1" applyFill="1" applyAlignment="1">
      <alignment horizontal="left" vertical="center"/>
    </xf>
    <xf numFmtId="0" fontId="2" fillId="3" borderId="0" xfId="0" applyFont="1" applyFill="1" applyAlignment="1">
      <alignment horizontal="center" vertical="center" wrapText="1"/>
    </xf>
    <xf numFmtId="0" fontId="0" fillId="2" borderId="0" xfId="0" applyFill="1" applyAlignment="1">
      <alignment horizontal="left" vertical="center"/>
    </xf>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5" fillId="0" borderId="0" xfId="1" applyFont="1"/>
    <xf numFmtId="0" fontId="4" fillId="0" borderId="0" xfId="1"/>
    <xf numFmtId="0" fontId="6" fillId="5" borderId="0" xfId="2">
      <alignment horizontal="center" vertical="center"/>
    </xf>
    <xf numFmtId="49" fontId="4" fillId="0" borderId="0" xfId="1" quotePrefix="1" applyNumberFormat="1" applyAlignment="1">
      <alignment horizontal="left"/>
    </xf>
    <xf numFmtId="0" fontId="7" fillId="4" borderId="0" xfId="3"/>
    <xf numFmtId="0" fontId="4" fillId="0" borderId="0" xfId="1" quotePrefix="1" applyAlignment="1">
      <alignment horizontal="left"/>
    </xf>
    <xf numFmtId="0" fontId="6" fillId="0" borderId="0" xfId="2" applyFill="1">
      <alignment horizontal="center" vertical="center"/>
    </xf>
    <xf numFmtId="0" fontId="4" fillId="0" borderId="0" xfId="1" applyAlignment="1">
      <alignment vertical="center"/>
    </xf>
    <xf numFmtId="0" fontId="5" fillId="8" borderId="10" xfId="1" applyFont="1" applyFill="1" applyBorder="1" applyAlignment="1">
      <alignment horizontal="center" vertical="center"/>
    </xf>
    <xf numFmtId="0" fontId="11" fillId="8" borderId="12" xfId="1" applyFont="1" applyFill="1" applyBorder="1" applyAlignment="1">
      <alignment horizontal="center" vertical="center"/>
    </xf>
    <xf numFmtId="0" fontId="11" fillId="8" borderId="13" xfId="1" applyFont="1" applyFill="1" applyBorder="1" applyAlignment="1">
      <alignment horizontal="center" vertical="center"/>
    </xf>
    <xf numFmtId="0" fontId="11" fillId="8" borderId="11" xfId="1" applyFont="1" applyFill="1" applyBorder="1" applyAlignment="1">
      <alignment horizontal="center" vertical="center"/>
    </xf>
    <xf numFmtId="0" fontId="5" fillId="9" borderId="14" xfId="1" applyFont="1" applyFill="1" applyBorder="1" applyAlignment="1">
      <alignment vertical="center" wrapText="1"/>
    </xf>
    <xf numFmtId="0" fontId="6" fillId="5" borderId="15" xfId="2" applyBorder="1">
      <alignment horizontal="center" vertical="center"/>
    </xf>
    <xf numFmtId="0" fontId="4" fillId="0" borderId="16" xfId="1" applyBorder="1" applyAlignment="1">
      <alignment vertical="center"/>
    </xf>
    <xf numFmtId="0" fontId="8" fillId="8" borderId="18" xfId="1" applyFont="1" applyFill="1" applyBorder="1" applyAlignment="1">
      <alignment horizontal="center" vertical="center"/>
    </xf>
    <xf numFmtId="0" fontId="14" fillId="9" borderId="21" xfId="1" applyFont="1" applyFill="1" applyBorder="1" applyAlignment="1">
      <alignment horizontal="center" vertical="center"/>
    </xf>
    <xf numFmtId="0" fontId="14" fillId="9" borderId="22" xfId="1" applyFont="1" applyFill="1" applyBorder="1" applyAlignment="1">
      <alignment horizontal="center" vertical="center"/>
    </xf>
    <xf numFmtId="0" fontId="14" fillId="9" borderId="23" xfId="1" applyFont="1" applyFill="1" applyBorder="1" applyAlignment="1">
      <alignment horizontal="center" vertical="center"/>
    </xf>
    <xf numFmtId="165" fontId="6" fillId="5" borderId="15" xfId="2" applyNumberFormat="1" applyBorder="1">
      <alignment horizontal="center" vertical="center"/>
    </xf>
    <xf numFmtId="0" fontId="4" fillId="9" borderId="25" xfId="1" applyFill="1" applyBorder="1" applyAlignment="1">
      <alignment horizontal="center" vertical="center"/>
    </xf>
    <xf numFmtId="0" fontId="4" fillId="9" borderId="26" xfId="1" applyFill="1" applyBorder="1" applyAlignment="1">
      <alignment horizontal="center" vertical="center"/>
    </xf>
    <xf numFmtId="0" fontId="4" fillId="9" borderId="27" xfId="1" applyFill="1" applyBorder="1" applyAlignment="1">
      <alignment horizontal="center" vertical="center"/>
    </xf>
    <xf numFmtId="0" fontId="4" fillId="9" borderId="23" xfId="1" applyFill="1" applyBorder="1" applyAlignment="1">
      <alignment horizontal="center" vertical="center"/>
    </xf>
    <xf numFmtId="1" fontId="14" fillId="0" borderId="28" xfId="1" applyNumberFormat="1" applyFont="1" applyBorder="1" applyAlignment="1">
      <alignment horizontal="center" vertical="center"/>
    </xf>
    <xf numFmtId="166" fontId="14" fillId="0" borderId="0" xfId="1" applyNumberFormat="1" applyFont="1" applyAlignment="1">
      <alignment horizontal="center" vertical="center"/>
    </xf>
    <xf numFmtId="167" fontId="14" fillId="0" borderId="0" xfId="1" applyNumberFormat="1" applyFont="1" applyAlignment="1">
      <alignment horizontal="center" vertical="center"/>
    </xf>
    <xf numFmtId="1" fontId="14" fillId="0" borderId="0" xfId="1" applyNumberFormat="1" applyFont="1" applyAlignment="1">
      <alignment horizontal="center" vertical="center"/>
    </xf>
    <xf numFmtId="168" fontId="14" fillId="0" borderId="0" xfId="1" applyNumberFormat="1" applyFont="1" applyAlignment="1">
      <alignment horizontal="center" vertical="center"/>
    </xf>
    <xf numFmtId="0" fontId="14" fillId="0" borderId="0" xfId="1" applyFont="1" applyAlignment="1">
      <alignment horizontal="center" vertical="center"/>
    </xf>
    <xf numFmtId="169" fontId="14" fillId="0" borderId="20" xfId="4" applyNumberFormat="1" applyFont="1" applyFill="1" applyBorder="1" applyAlignment="1">
      <alignment horizontal="center" vertical="center"/>
    </xf>
    <xf numFmtId="0" fontId="6" fillId="5" borderId="29" xfId="2" applyBorder="1">
      <alignment horizontal="center" vertical="center"/>
    </xf>
    <xf numFmtId="0" fontId="4" fillId="0" borderId="30" xfId="1" applyBorder="1" applyAlignment="1">
      <alignment vertical="center"/>
    </xf>
    <xf numFmtId="0" fontId="5" fillId="0" borderId="28" xfId="1" applyFont="1" applyBorder="1" applyAlignment="1">
      <alignment horizontal="left" vertical="center"/>
    </xf>
    <xf numFmtId="0" fontId="6" fillId="5" borderId="18" xfId="2" applyBorder="1">
      <alignment horizontal="center" vertical="center"/>
    </xf>
    <xf numFmtId="1" fontId="18" fillId="0" borderId="19" xfId="3" applyNumberFormat="1" applyFont="1" applyFill="1" applyBorder="1" applyAlignment="1">
      <alignment horizontal="center"/>
    </xf>
    <xf numFmtId="0" fontId="18" fillId="0" borderId="18" xfId="2" applyFont="1" applyFill="1" applyBorder="1">
      <alignment horizontal="center" vertical="center"/>
    </xf>
    <xf numFmtId="1" fontId="7" fillId="4" borderId="19" xfId="3" applyNumberFormat="1" applyBorder="1" applyAlignment="1">
      <alignment horizontal="center"/>
    </xf>
    <xf numFmtId="0" fontId="4" fillId="0" borderId="18" xfId="1" applyBorder="1" applyAlignment="1">
      <alignment horizontal="center"/>
    </xf>
    <xf numFmtId="1" fontId="4" fillId="0" borderId="19" xfId="1" applyNumberFormat="1" applyBorder="1" applyAlignment="1">
      <alignment horizontal="center"/>
    </xf>
    <xf numFmtId="3" fontId="6" fillId="5" borderId="31" xfId="2" applyNumberFormat="1" applyBorder="1">
      <alignment horizontal="center" vertical="center"/>
    </xf>
    <xf numFmtId="0" fontId="7" fillId="4" borderId="18" xfId="3" applyNumberFormat="1" applyBorder="1" applyAlignment="1">
      <alignment horizontal="center"/>
    </xf>
    <xf numFmtId="3" fontId="4" fillId="0" borderId="20" xfId="1" applyNumberFormat="1" applyBorder="1" applyAlignment="1">
      <alignment horizontal="center"/>
    </xf>
    <xf numFmtId="0" fontId="4" fillId="0" borderId="22" xfId="1" applyBorder="1" applyAlignment="1">
      <alignment horizontal="center" vertical="center"/>
    </xf>
    <xf numFmtId="0" fontId="4" fillId="0" borderId="23" xfId="1" applyBorder="1" applyAlignment="1">
      <alignment vertical="center"/>
    </xf>
    <xf numFmtId="1" fontId="14" fillId="0" borderId="32" xfId="1" applyNumberFormat="1" applyFont="1" applyBorder="1" applyAlignment="1">
      <alignment horizontal="center" vertical="center"/>
    </xf>
    <xf numFmtId="166" fontId="14" fillId="0" borderId="33" xfId="1" applyNumberFormat="1" applyFont="1" applyBorder="1" applyAlignment="1">
      <alignment horizontal="center" vertical="center"/>
    </xf>
    <xf numFmtId="167" fontId="14" fillId="0" borderId="33" xfId="1" applyNumberFormat="1" applyFont="1" applyBorder="1" applyAlignment="1">
      <alignment horizontal="center" vertical="center"/>
    </xf>
    <xf numFmtId="1" fontId="14" fillId="0" borderId="33" xfId="1" applyNumberFormat="1" applyFont="1" applyBorder="1" applyAlignment="1">
      <alignment horizontal="center" vertical="center"/>
    </xf>
    <xf numFmtId="168" fontId="14" fillId="0" borderId="33" xfId="1" applyNumberFormat="1" applyFont="1" applyBorder="1" applyAlignment="1">
      <alignment horizontal="center" vertical="center"/>
    </xf>
    <xf numFmtId="0" fontId="14" fillId="0" borderId="33" xfId="1" applyFont="1" applyBorder="1" applyAlignment="1">
      <alignment horizontal="center" vertical="center"/>
    </xf>
    <xf numFmtId="169" fontId="14" fillId="0" borderId="34" xfId="4" applyNumberFormat="1" applyFont="1" applyFill="1" applyBorder="1" applyAlignment="1">
      <alignment horizontal="center" vertical="center"/>
    </xf>
    <xf numFmtId="0" fontId="5" fillId="9" borderId="35" xfId="1" applyFont="1" applyFill="1" applyBorder="1" applyAlignment="1">
      <alignment vertical="center" wrapText="1"/>
    </xf>
    <xf numFmtId="166" fontId="4" fillId="0" borderId="36" xfId="1" applyNumberFormat="1" applyBorder="1" applyAlignment="1">
      <alignment horizontal="center" vertical="center"/>
    </xf>
    <xf numFmtId="0" fontId="4" fillId="0" borderId="37" xfId="1" applyBorder="1" applyAlignment="1">
      <alignment vertical="center"/>
    </xf>
    <xf numFmtId="0" fontId="5" fillId="0" borderId="32" xfId="1" applyFont="1" applyBorder="1" applyAlignment="1">
      <alignment horizontal="left" vertical="center"/>
    </xf>
    <xf numFmtId="0" fontId="6" fillId="5" borderId="38" xfId="2" applyBorder="1">
      <alignment horizontal="center" vertical="center"/>
    </xf>
    <xf numFmtId="1" fontId="18" fillId="0" borderId="39" xfId="3" applyNumberFormat="1" applyFont="1" applyFill="1" applyBorder="1" applyAlignment="1">
      <alignment horizontal="center"/>
    </xf>
    <xf numFmtId="0" fontId="18" fillId="0" borderId="38" xfId="2" applyFont="1" applyFill="1" applyBorder="1">
      <alignment horizontal="center" vertical="center"/>
    </xf>
    <xf numFmtId="1" fontId="7" fillId="4" borderId="39" xfId="3" applyNumberFormat="1" applyBorder="1" applyAlignment="1">
      <alignment horizontal="center"/>
    </xf>
    <xf numFmtId="0" fontId="4" fillId="0" borderId="38" xfId="1" applyBorder="1" applyAlignment="1">
      <alignment horizontal="center"/>
    </xf>
    <xf numFmtId="1" fontId="4" fillId="0" borderId="39" xfId="1" applyNumberFormat="1" applyBorder="1" applyAlignment="1">
      <alignment horizontal="center"/>
    </xf>
    <xf numFmtId="3" fontId="6" fillId="5" borderId="40" xfId="2" applyNumberFormat="1" applyBorder="1">
      <alignment horizontal="center" vertical="center"/>
    </xf>
    <xf numFmtId="0" fontId="7" fillId="4" borderId="38" xfId="3" applyNumberFormat="1" applyBorder="1" applyAlignment="1">
      <alignment horizontal="center"/>
    </xf>
    <xf numFmtId="3" fontId="4" fillId="0" borderId="34" xfId="1" applyNumberFormat="1" applyBorder="1" applyAlignment="1">
      <alignment horizontal="center"/>
    </xf>
    <xf numFmtId="0" fontId="4" fillId="0" borderId="0" xfId="1" applyAlignment="1">
      <alignment horizontal="center" vertical="center"/>
    </xf>
    <xf numFmtId="0" fontId="11" fillId="7" borderId="12" xfId="1" applyFont="1" applyFill="1" applyBorder="1" applyAlignment="1">
      <alignment horizontal="center" vertical="center"/>
    </xf>
    <xf numFmtId="0" fontId="11" fillId="7" borderId="13" xfId="1" applyFont="1" applyFill="1" applyBorder="1" applyAlignment="1">
      <alignment horizontal="center" vertical="center"/>
    </xf>
    <xf numFmtId="0" fontId="11" fillId="7" borderId="11" xfId="1" applyFont="1" applyFill="1" applyBorder="1" applyAlignment="1">
      <alignment horizontal="center" vertical="center"/>
    </xf>
    <xf numFmtId="3" fontId="4" fillId="0" borderId="0" xfId="1" applyNumberFormat="1" applyAlignment="1">
      <alignment vertical="center"/>
    </xf>
    <xf numFmtId="0" fontId="14" fillId="0" borderId="28" xfId="1" applyFont="1" applyBorder="1" applyAlignment="1">
      <alignment horizontal="center" vertical="center"/>
    </xf>
    <xf numFmtId="164" fontId="14" fillId="0" borderId="0" xfId="1" applyNumberFormat="1" applyFont="1" applyAlignment="1">
      <alignment horizontal="center" vertical="center"/>
    </xf>
    <xf numFmtId="0" fontId="14" fillId="0" borderId="20" xfId="1" applyFont="1" applyBorder="1" applyAlignment="1">
      <alignment horizontal="center" vertical="center"/>
    </xf>
    <xf numFmtId="0" fontId="4" fillId="0" borderId="29" xfId="1" applyBorder="1" applyAlignment="1">
      <alignment horizontal="center" vertical="center"/>
    </xf>
    <xf numFmtId="0" fontId="18" fillId="9" borderId="25" xfId="1" applyFont="1" applyFill="1" applyBorder="1" applyAlignment="1">
      <alignment horizontal="center" vertical="center"/>
    </xf>
    <xf numFmtId="0" fontId="18" fillId="9" borderId="22" xfId="1" applyFont="1" applyFill="1" applyBorder="1" applyAlignment="1">
      <alignment horizontal="center" vertical="center"/>
    </xf>
    <xf numFmtId="1" fontId="7" fillId="4" borderId="34" xfId="3" applyNumberFormat="1" applyBorder="1" applyAlignment="1">
      <alignment horizontal="center"/>
    </xf>
    <xf numFmtId="170" fontId="4" fillId="0" borderId="0" xfId="1" applyNumberFormat="1" applyAlignment="1">
      <alignment horizontal="center" vertical="center"/>
    </xf>
    <xf numFmtId="171" fontId="4" fillId="0" borderId="29" xfId="1" applyNumberFormat="1" applyBorder="1" applyAlignment="1">
      <alignment horizontal="center" vertical="center"/>
    </xf>
    <xf numFmtId="171" fontId="4" fillId="0" borderId="22" xfId="1" applyNumberFormat="1" applyBorder="1" applyAlignment="1">
      <alignment horizontal="center" vertical="center"/>
    </xf>
    <xf numFmtId="1" fontId="7" fillId="4" borderId="39" xfId="3" applyNumberFormat="1" applyBorder="1" applyAlignment="1">
      <alignment horizontal="center" vertical="center"/>
    </xf>
    <xf numFmtId="0" fontId="14" fillId="0" borderId="32" xfId="1" applyFont="1" applyBorder="1" applyAlignment="1">
      <alignment horizontal="center" vertical="center"/>
    </xf>
    <xf numFmtId="164" fontId="14" fillId="0" borderId="33" xfId="1" applyNumberFormat="1" applyFont="1" applyBorder="1" applyAlignment="1">
      <alignment horizontal="center" vertical="center"/>
    </xf>
    <xf numFmtId="0" fontId="14" fillId="0" borderId="34" xfId="1" applyFont="1" applyBorder="1" applyAlignment="1">
      <alignment horizontal="center" vertical="center"/>
    </xf>
    <xf numFmtId="0" fontId="0" fillId="0" borderId="0" xfId="0" quotePrefix="1">
      <alignment vertical="center"/>
    </xf>
    <xf numFmtId="0" fontId="0" fillId="2" borderId="0" xfId="0" quotePrefix="1" applyFill="1">
      <alignment vertical="center"/>
    </xf>
    <xf numFmtId="172" fontId="0" fillId="2" borderId="0" xfId="0" applyNumberFormat="1" applyFill="1">
      <alignment vertical="center"/>
    </xf>
    <xf numFmtId="172" fontId="0" fillId="0" borderId="0" xfId="0" applyNumberFormat="1">
      <alignment vertical="center"/>
    </xf>
    <xf numFmtId="172" fontId="0" fillId="2" borderId="0" xfId="0" applyNumberFormat="1" applyFill="1" applyAlignment="1">
      <alignment horizontal="left" vertical="center"/>
    </xf>
    <xf numFmtId="172" fontId="3" fillId="2" borderId="0" xfId="0" applyNumberFormat="1" applyFont="1" applyFill="1" applyAlignment="1">
      <alignment horizontal="left" vertical="center"/>
    </xf>
    <xf numFmtId="0" fontId="8" fillId="8" borderId="18" xfId="1" applyFont="1" applyFill="1" applyBorder="1" applyAlignment="1">
      <alignment horizontal="center" vertical="center"/>
    </xf>
    <xf numFmtId="0" fontId="8" fillId="8" borderId="20" xfId="1" applyFont="1" applyFill="1" applyBorder="1" applyAlignment="1">
      <alignment horizontal="center" vertical="center"/>
    </xf>
    <xf numFmtId="0" fontId="5" fillId="9" borderId="14" xfId="1" applyFont="1" applyFill="1" applyBorder="1" applyAlignment="1">
      <alignment horizontal="left" vertical="center" wrapText="1"/>
    </xf>
    <xf numFmtId="0" fontId="5" fillId="7" borderId="4" xfId="1" applyFont="1" applyFill="1" applyBorder="1" applyAlignment="1">
      <alignment horizontal="center" vertical="center"/>
    </xf>
    <xf numFmtId="0" fontId="5" fillId="7" borderId="5" xfId="1" applyFont="1" applyFill="1" applyBorder="1" applyAlignment="1">
      <alignment horizontal="center" vertical="center"/>
    </xf>
    <xf numFmtId="0" fontId="5" fillId="7" borderId="6" xfId="1" applyFont="1" applyFill="1" applyBorder="1" applyAlignment="1">
      <alignment horizontal="center" vertical="center"/>
    </xf>
    <xf numFmtId="0" fontId="9" fillId="6" borderId="1" xfId="1" applyFont="1" applyFill="1" applyBorder="1" applyAlignment="1">
      <alignment horizontal="center" vertical="center"/>
    </xf>
    <xf numFmtId="0" fontId="9" fillId="6" borderId="2" xfId="1" applyFont="1" applyFill="1" applyBorder="1" applyAlignment="1">
      <alignment horizontal="center" vertical="center"/>
    </xf>
    <xf numFmtId="0" fontId="9" fillId="6" borderId="3" xfId="1" applyFont="1" applyFill="1" applyBorder="1" applyAlignment="1">
      <alignment horizontal="center" vertical="center"/>
    </xf>
    <xf numFmtId="0" fontId="5" fillId="8" borderId="7" xfId="1" applyFont="1" applyFill="1" applyBorder="1" applyAlignment="1">
      <alignment horizontal="center" vertical="center"/>
    </xf>
    <xf numFmtId="0" fontId="5" fillId="8" borderId="17" xfId="1" applyFont="1" applyFill="1" applyBorder="1" applyAlignment="1">
      <alignment horizontal="center" vertical="center"/>
    </xf>
    <xf numFmtId="0" fontId="5" fillId="8" borderId="24" xfId="1" applyFont="1" applyFill="1" applyBorder="1" applyAlignment="1">
      <alignment horizontal="center" vertical="center"/>
    </xf>
    <xf numFmtId="0" fontId="5" fillId="8" borderId="8" xfId="1" applyFont="1" applyFill="1" applyBorder="1" applyAlignment="1">
      <alignment horizontal="center" vertical="center"/>
    </xf>
    <xf numFmtId="0" fontId="5" fillId="8" borderId="9" xfId="1" applyFont="1" applyFill="1" applyBorder="1" applyAlignment="1">
      <alignment horizontal="center" vertical="center"/>
    </xf>
    <xf numFmtId="0" fontId="20" fillId="8" borderId="8" xfId="1" applyFont="1" applyFill="1" applyBorder="1" applyAlignment="1">
      <alignment horizontal="center" vertical="center"/>
    </xf>
    <xf numFmtId="0" fontId="20" fillId="8" borderId="13" xfId="1" applyFont="1" applyFill="1" applyBorder="1" applyAlignment="1">
      <alignment horizontal="center" vertical="center"/>
    </xf>
    <xf numFmtId="0" fontId="5" fillId="8" borderId="11" xfId="1" applyFont="1" applyFill="1" applyBorder="1" applyAlignment="1">
      <alignment horizontal="center" vertical="center"/>
    </xf>
    <xf numFmtId="0" fontId="8" fillId="8" borderId="19" xfId="1" applyFont="1" applyFill="1" applyBorder="1" applyAlignment="1">
      <alignment horizontal="center" vertical="center"/>
    </xf>
    <xf numFmtId="0" fontId="21" fillId="8" borderId="18" xfId="1" applyFont="1" applyFill="1" applyBorder="1" applyAlignment="1">
      <alignment horizontal="center" vertical="center"/>
    </xf>
    <xf numFmtId="0" fontId="21" fillId="8" borderId="0" xfId="1" applyFont="1" applyFill="1" applyAlignment="1">
      <alignment horizontal="center" vertical="center"/>
    </xf>
    <xf numFmtId="0" fontId="11" fillId="7" borderId="13" xfId="1" applyFont="1" applyFill="1" applyBorder="1" applyAlignment="1">
      <alignment horizontal="center" vertical="center"/>
    </xf>
    <xf numFmtId="49" fontId="4" fillId="0" borderId="0" xfId="1" quotePrefix="1" applyNumberFormat="1" applyAlignment="1">
      <alignment horizontal="left"/>
    </xf>
    <xf numFmtId="0" fontId="10" fillId="6" borderId="1" xfId="1" applyFont="1" applyFill="1" applyBorder="1" applyAlignment="1">
      <alignment horizontal="center" vertical="center"/>
    </xf>
    <xf numFmtId="0" fontId="10" fillId="6" borderId="2" xfId="1" applyFont="1" applyFill="1" applyBorder="1" applyAlignment="1">
      <alignment horizontal="center" vertical="center"/>
    </xf>
    <xf numFmtId="0" fontId="10" fillId="6" borderId="3" xfId="1" applyFont="1" applyFill="1" applyBorder="1" applyAlignment="1">
      <alignment horizontal="center" vertical="center"/>
    </xf>
  </cellXfs>
  <cellStyles count="5">
    <cellStyle name="Manual Input" xfId="2" xr:uid="{E684006A-0125-4D61-A816-A587326C4875}"/>
    <cellStyle name="どちらでもない 2" xfId="3" xr:uid="{B37B5B24-122C-4100-8FB6-0DF14F7EFFE4}"/>
    <cellStyle name="パーセント 2" xfId="4" xr:uid="{C3D7F0F0-D8E5-4381-BBBB-BF85E506DEED}"/>
    <cellStyle name="標準" xfId="0" builtinId="0"/>
    <cellStyle name="標準 2" xfId="1" xr:uid="{CBDB8D0B-31B9-4227-805D-828C468665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301983</xdr:colOff>
      <xdr:row>44</xdr:row>
      <xdr:rowOff>29320</xdr:rowOff>
    </xdr:from>
    <xdr:to>
      <xdr:col>3</xdr:col>
      <xdr:colOff>1425851</xdr:colOff>
      <xdr:row>45</xdr:row>
      <xdr:rowOff>216010</xdr:rowOff>
    </xdr:to>
    <xdr:sp macro="" textlink="">
      <xdr:nvSpPr>
        <xdr:cNvPr id="2" name="テキスト ボックス 1">
          <a:extLst>
            <a:ext uri="{FF2B5EF4-FFF2-40B4-BE49-F238E27FC236}">
              <a16:creationId xmlns:a16="http://schemas.microsoft.com/office/drawing/2014/main" id="{916D0EE3-2BB3-E329-177A-795FEFF2607C}"/>
            </a:ext>
          </a:extLst>
        </xdr:cNvPr>
        <xdr:cNvSpPr txBox="1"/>
      </xdr:nvSpPr>
      <xdr:spPr>
        <a:xfrm>
          <a:off x="4782874" y="3508016"/>
          <a:ext cx="1123868" cy="41860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2</xdr:col>
      <xdr:colOff>591874</xdr:colOff>
      <xdr:row>44</xdr:row>
      <xdr:rowOff>35697</xdr:rowOff>
    </xdr:from>
    <xdr:to>
      <xdr:col>2</xdr:col>
      <xdr:colOff>1715742</xdr:colOff>
      <xdr:row>45</xdr:row>
      <xdr:rowOff>218577</xdr:rowOff>
    </xdr:to>
    <xdr:sp macro="" textlink="">
      <xdr:nvSpPr>
        <xdr:cNvPr id="3" name="テキスト ボックス 2">
          <a:extLst>
            <a:ext uri="{FF2B5EF4-FFF2-40B4-BE49-F238E27FC236}">
              <a16:creationId xmlns:a16="http://schemas.microsoft.com/office/drawing/2014/main" id="{B6C694D5-F02C-45FE-AEFE-FE2592177800}"/>
            </a:ext>
          </a:extLst>
        </xdr:cNvPr>
        <xdr:cNvSpPr txBox="1"/>
      </xdr:nvSpPr>
      <xdr:spPr>
        <a:xfrm>
          <a:off x="2761917" y="3514393"/>
          <a:ext cx="1123868" cy="41479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194062</xdr:colOff>
      <xdr:row>15</xdr:row>
      <xdr:rowOff>17145</xdr:rowOff>
    </xdr:from>
    <xdr:to>
      <xdr:col>2</xdr:col>
      <xdr:colOff>1317930</xdr:colOff>
      <xdr:row>16</xdr:row>
      <xdr:rowOff>199528</xdr:rowOff>
    </xdr:to>
    <xdr:sp macro="" textlink="">
      <xdr:nvSpPr>
        <xdr:cNvPr id="2" name="テキスト ボックス 1">
          <a:extLst>
            <a:ext uri="{FF2B5EF4-FFF2-40B4-BE49-F238E27FC236}">
              <a16:creationId xmlns:a16="http://schemas.microsoft.com/office/drawing/2014/main" id="{BC76CD6E-575A-4F98-90BA-988074F4E3A7}"/>
            </a:ext>
          </a:extLst>
        </xdr:cNvPr>
        <xdr:cNvSpPr txBox="1"/>
      </xdr:nvSpPr>
      <xdr:spPr>
        <a:xfrm>
          <a:off x="3539242" y="4131945"/>
          <a:ext cx="1123868" cy="41098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849630</xdr:colOff>
      <xdr:row>15</xdr:row>
      <xdr:rowOff>33047</xdr:rowOff>
    </xdr:from>
    <xdr:to>
      <xdr:col>1</xdr:col>
      <xdr:colOff>1973498</xdr:colOff>
      <xdr:row>16</xdr:row>
      <xdr:rowOff>207810</xdr:rowOff>
    </xdr:to>
    <xdr:sp macro="" textlink="">
      <xdr:nvSpPr>
        <xdr:cNvPr id="3" name="テキスト ボックス 2">
          <a:extLst>
            <a:ext uri="{FF2B5EF4-FFF2-40B4-BE49-F238E27FC236}">
              <a16:creationId xmlns:a16="http://schemas.microsoft.com/office/drawing/2014/main" id="{0A201132-B518-4975-84CD-D207D47741BE}"/>
            </a:ext>
          </a:extLst>
        </xdr:cNvPr>
        <xdr:cNvSpPr txBox="1"/>
      </xdr:nvSpPr>
      <xdr:spPr>
        <a:xfrm>
          <a:off x="1520190" y="4147847"/>
          <a:ext cx="1123868" cy="403363"/>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161677</xdr:colOff>
      <xdr:row>8</xdr:row>
      <xdr:rowOff>142875</xdr:rowOff>
    </xdr:from>
    <xdr:to>
      <xdr:col>3</xdr:col>
      <xdr:colOff>609270</xdr:colOff>
      <xdr:row>10</xdr:row>
      <xdr:rowOff>87133</xdr:rowOff>
    </xdr:to>
    <xdr:sp macro="" textlink="">
      <xdr:nvSpPr>
        <xdr:cNvPr id="2" name="テキスト ボックス 1">
          <a:extLst>
            <a:ext uri="{FF2B5EF4-FFF2-40B4-BE49-F238E27FC236}">
              <a16:creationId xmlns:a16="http://schemas.microsoft.com/office/drawing/2014/main" id="{5AE6CBAD-7A01-4938-B213-9F0F49AD1428}"/>
            </a:ext>
          </a:extLst>
        </xdr:cNvPr>
        <xdr:cNvSpPr txBox="1"/>
      </xdr:nvSpPr>
      <xdr:spPr>
        <a:xfrm>
          <a:off x="4695577" y="1971675"/>
          <a:ext cx="1114343" cy="4014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485775</xdr:colOff>
      <xdr:row>8</xdr:row>
      <xdr:rowOff>145442</xdr:rowOff>
    </xdr:from>
    <xdr:to>
      <xdr:col>1</xdr:col>
      <xdr:colOff>1613453</xdr:colOff>
      <xdr:row>10</xdr:row>
      <xdr:rowOff>104940</xdr:rowOff>
    </xdr:to>
    <xdr:sp macro="" textlink="">
      <xdr:nvSpPr>
        <xdr:cNvPr id="3" name="テキスト ボックス 2">
          <a:extLst>
            <a:ext uri="{FF2B5EF4-FFF2-40B4-BE49-F238E27FC236}">
              <a16:creationId xmlns:a16="http://schemas.microsoft.com/office/drawing/2014/main" id="{6275EFE2-CEEA-4C76-A07C-ECF33928CCAD}"/>
            </a:ext>
          </a:extLst>
        </xdr:cNvPr>
        <xdr:cNvSpPr txBox="1"/>
      </xdr:nvSpPr>
      <xdr:spPr>
        <a:xfrm>
          <a:off x="2667000" y="1974242"/>
          <a:ext cx="112767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230505</xdr:colOff>
      <xdr:row>15</xdr:row>
      <xdr:rowOff>30480</xdr:rowOff>
    </xdr:from>
    <xdr:to>
      <xdr:col>6</xdr:col>
      <xdr:colOff>684</xdr:colOff>
      <xdr:row>29</xdr:row>
      <xdr:rowOff>33089</xdr:rowOff>
    </xdr:to>
    <xdr:pic>
      <xdr:nvPicPr>
        <xdr:cNvPr id="2" name="図 1">
          <a:extLst>
            <a:ext uri="{FF2B5EF4-FFF2-40B4-BE49-F238E27FC236}">
              <a16:creationId xmlns:a16="http://schemas.microsoft.com/office/drawing/2014/main" id="{0DF0A662-2FA8-3BEE-8BD5-7D8A5108E5D1}"/>
            </a:ext>
          </a:extLst>
        </xdr:cNvPr>
        <xdr:cNvPicPr>
          <a:picLocks noChangeAspect="1"/>
        </xdr:cNvPicPr>
      </xdr:nvPicPr>
      <xdr:blipFill>
        <a:blip xmlns:r="http://schemas.openxmlformats.org/officeDocument/2006/relationships" r:embed="rId1"/>
        <a:stretch>
          <a:fillRect/>
        </a:stretch>
      </xdr:blipFill>
      <xdr:spPr>
        <a:xfrm>
          <a:off x="4059555" y="3916680"/>
          <a:ext cx="6020696" cy="3191156"/>
        </a:xfrm>
        <a:prstGeom prst="rect">
          <a:avLst/>
        </a:prstGeom>
      </xdr:spPr>
    </xdr:pic>
    <xdr:clientData/>
  </xdr:twoCellAnchor>
  <xdr:twoCellAnchor>
    <xdr:from>
      <xdr:col>3</xdr:col>
      <xdr:colOff>893197</xdr:colOff>
      <xdr:row>5</xdr:row>
      <xdr:rowOff>34290</xdr:rowOff>
    </xdr:from>
    <xdr:to>
      <xdr:col>4</xdr:col>
      <xdr:colOff>342570</xdr:colOff>
      <xdr:row>6</xdr:row>
      <xdr:rowOff>210958</xdr:rowOff>
    </xdr:to>
    <xdr:sp macro="" textlink="">
      <xdr:nvSpPr>
        <xdr:cNvPr id="3" name="テキスト ボックス 2">
          <a:extLst>
            <a:ext uri="{FF2B5EF4-FFF2-40B4-BE49-F238E27FC236}">
              <a16:creationId xmlns:a16="http://schemas.microsoft.com/office/drawing/2014/main" id="{767ABDBB-3301-4D40-9FF4-71EF60D6E3AD}"/>
            </a:ext>
          </a:extLst>
        </xdr:cNvPr>
        <xdr:cNvSpPr txBox="1"/>
      </xdr:nvSpPr>
      <xdr:spPr>
        <a:xfrm>
          <a:off x="4722247" y="1634490"/>
          <a:ext cx="1116248" cy="40526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2</xdr:col>
      <xdr:colOff>135255</xdr:colOff>
      <xdr:row>5</xdr:row>
      <xdr:rowOff>36857</xdr:rowOff>
    </xdr:from>
    <xdr:to>
      <xdr:col>2</xdr:col>
      <xdr:colOff>1261028</xdr:colOff>
      <xdr:row>6</xdr:row>
      <xdr:rowOff>224955</xdr:rowOff>
    </xdr:to>
    <xdr:sp macro="" textlink="">
      <xdr:nvSpPr>
        <xdr:cNvPr id="4" name="テキスト ボックス 3">
          <a:extLst>
            <a:ext uri="{FF2B5EF4-FFF2-40B4-BE49-F238E27FC236}">
              <a16:creationId xmlns:a16="http://schemas.microsoft.com/office/drawing/2014/main" id="{96AE7C5E-5E43-496E-8065-B2F1C504E660}"/>
            </a:ext>
          </a:extLst>
        </xdr:cNvPr>
        <xdr:cNvSpPr txBox="1"/>
      </xdr:nvSpPr>
      <xdr:spPr>
        <a:xfrm>
          <a:off x="2697480" y="1637057"/>
          <a:ext cx="1125773"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830332</xdr:colOff>
      <xdr:row>21</xdr:row>
      <xdr:rowOff>129540</xdr:rowOff>
    </xdr:from>
    <xdr:to>
      <xdr:col>4</xdr:col>
      <xdr:colOff>1190295</xdr:colOff>
      <xdr:row>23</xdr:row>
      <xdr:rowOff>73798</xdr:rowOff>
    </xdr:to>
    <xdr:sp macro="" textlink="">
      <xdr:nvSpPr>
        <xdr:cNvPr id="3" name="テキスト ボックス 2">
          <a:extLst>
            <a:ext uri="{FF2B5EF4-FFF2-40B4-BE49-F238E27FC236}">
              <a16:creationId xmlns:a16="http://schemas.microsoft.com/office/drawing/2014/main" id="{64C66C81-1052-490F-A20D-7A796AA95643}"/>
            </a:ext>
          </a:extLst>
        </xdr:cNvPr>
        <xdr:cNvSpPr txBox="1"/>
      </xdr:nvSpPr>
      <xdr:spPr>
        <a:xfrm>
          <a:off x="4745107" y="6301740"/>
          <a:ext cx="1560113" cy="4014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664845</xdr:colOff>
      <xdr:row>21</xdr:row>
      <xdr:rowOff>132107</xdr:rowOff>
    </xdr:from>
    <xdr:to>
      <xdr:col>1</xdr:col>
      <xdr:colOff>1737278</xdr:colOff>
      <xdr:row>23</xdr:row>
      <xdr:rowOff>91605</xdr:rowOff>
    </xdr:to>
    <xdr:sp macro="" textlink="">
      <xdr:nvSpPr>
        <xdr:cNvPr id="4" name="テキスト ボックス 3">
          <a:extLst>
            <a:ext uri="{FF2B5EF4-FFF2-40B4-BE49-F238E27FC236}">
              <a16:creationId xmlns:a16="http://schemas.microsoft.com/office/drawing/2014/main" id="{8A350E08-929A-4911-A638-ED966436C982}"/>
            </a:ext>
          </a:extLst>
        </xdr:cNvPr>
        <xdr:cNvSpPr txBox="1"/>
      </xdr:nvSpPr>
      <xdr:spPr>
        <a:xfrm>
          <a:off x="2779395" y="6304307"/>
          <a:ext cx="1072433"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470287</xdr:colOff>
      <xdr:row>6</xdr:row>
      <xdr:rowOff>0</xdr:rowOff>
    </xdr:from>
    <xdr:to>
      <xdr:col>3</xdr:col>
      <xdr:colOff>125400</xdr:colOff>
      <xdr:row>7</xdr:row>
      <xdr:rowOff>172858</xdr:rowOff>
    </xdr:to>
    <xdr:sp macro="" textlink="">
      <xdr:nvSpPr>
        <xdr:cNvPr id="2" name="テキスト ボックス 1">
          <a:extLst>
            <a:ext uri="{FF2B5EF4-FFF2-40B4-BE49-F238E27FC236}">
              <a16:creationId xmlns:a16="http://schemas.microsoft.com/office/drawing/2014/main" id="{6B574925-7250-45D5-808B-F3B55DBFFAAC}"/>
            </a:ext>
          </a:extLst>
        </xdr:cNvPr>
        <xdr:cNvSpPr txBox="1"/>
      </xdr:nvSpPr>
      <xdr:spPr>
        <a:xfrm>
          <a:off x="2965837" y="1371600"/>
          <a:ext cx="1121963" cy="4014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276225</xdr:colOff>
      <xdr:row>6</xdr:row>
      <xdr:rowOff>2567</xdr:rowOff>
    </xdr:from>
    <xdr:to>
      <xdr:col>1</xdr:col>
      <xdr:colOff>1400093</xdr:colOff>
      <xdr:row>7</xdr:row>
      <xdr:rowOff>190665</xdr:rowOff>
    </xdr:to>
    <xdr:sp macro="" textlink="">
      <xdr:nvSpPr>
        <xdr:cNvPr id="3" name="テキスト ボックス 2">
          <a:extLst>
            <a:ext uri="{FF2B5EF4-FFF2-40B4-BE49-F238E27FC236}">
              <a16:creationId xmlns:a16="http://schemas.microsoft.com/office/drawing/2014/main" id="{F63212D5-6D96-4FCA-9B64-4C0AB5B61232}"/>
            </a:ext>
          </a:extLst>
        </xdr:cNvPr>
        <xdr:cNvSpPr txBox="1"/>
      </xdr:nvSpPr>
      <xdr:spPr>
        <a:xfrm>
          <a:off x="942975" y="1374167"/>
          <a:ext cx="112386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1775460</xdr:colOff>
      <xdr:row>8</xdr:row>
      <xdr:rowOff>22860</xdr:rowOff>
    </xdr:from>
    <xdr:to>
      <xdr:col>4</xdr:col>
      <xdr:colOff>110490</xdr:colOff>
      <xdr:row>9</xdr:row>
      <xdr:rowOff>191908</xdr:rowOff>
    </xdr:to>
    <xdr:sp macro="" textlink="">
      <xdr:nvSpPr>
        <xdr:cNvPr id="2" name="テキスト ボックス 1">
          <a:extLst>
            <a:ext uri="{FF2B5EF4-FFF2-40B4-BE49-F238E27FC236}">
              <a16:creationId xmlns:a16="http://schemas.microsoft.com/office/drawing/2014/main" id="{AE8167BB-9AE3-495C-9801-733455B73982}"/>
            </a:ext>
          </a:extLst>
        </xdr:cNvPr>
        <xdr:cNvSpPr txBox="1"/>
      </xdr:nvSpPr>
      <xdr:spPr>
        <a:xfrm>
          <a:off x="3520440" y="1165860"/>
          <a:ext cx="1504950" cy="3976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276225</xdr:colOff>
      <xdr:row>8</xdr:row>
      <xdr:rowOff>2567</xdr:rowOff>
    </xdr:from>
    <xdr:to>
      <xdr:col>1</xdr:col>
      <xdr:colOff>1400093</xdr:colOff>
      <xdr:row>9</xdr:row>
      <xdr:rowOff>190665</xdr:rowOff>
    </xdr:to>
    <xdr:sp macro="" textlink="">
      <xdr:nvSpPr>
        <xdr:cNvPr id="3" name="テキスト ボックス 2">
          <a:extLst>
            <a:ext uri="{FF2B5EF4-FFF2-40B4-BE49-F238E27FC236}">
              <a16:creationId xmlns:a16="http://schemas.microsoft.com/office/drawing/2014/main" id="{DB859346-D4A1-42E8-A198-C724CFB352A6}"/>
            </a:ext>
          </a:extLst>
        </xdr:cNvPr>
        <xdr:cNvSpPr txBox="1"/>
      </xdr:nvSpPr>
      <xdr:spPr>
        <a:xfrm>
          <a:off x="2021205" y="1145567"/>
          <a:ext cx="112005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271985</xdr:colOff>
      <xdr:row>6</xdr:row>
      <xdr:rowOff>72571</xdr:rowOff>
    </xdr:from>
    <xdr:to>
      <xdr:col>8</xdr:col>
      <xdr:colOff>833299</xdr:colOff>
      <xdr:row>8</xdr:row>
      <xdr:rowOff>12294</xdr:rowOff>
    </xdr:to>
    <xdr:sp macro="" textlink="">
      <xdr:nvSpPr>
        <xdr:cNvPr id="2" name="テキスト ボックス 1">
          <a:extLst>
            <a:ext uri="{FF2B5EF4-FFF2-40B4-BE49-F238E27FC236}">
              <a16:creationId xmlns:a16="http://schemas.microsoft.com/office/drawing/2014/main" id="{3C73E0DE-BC44-4F2B-B419-F3D76D06F018}"/>
            </a:ext>
          </a:extLst>
        </xdr:cNvPr>
        <xdr:cNvSpPr txBox="1"/>
      </xdr:nvSpPr>
      <xdr:spPr>
        <a:xfrm>
          <a:off x="4920185" y="1672771"/>
          <a:ext cx="2030885" cy="39692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5</xdr:col>
      <xdr:colOff>846455</xdr:colOff>
      <xdr:row>6</xdr:row>
      <xdr:rowOff>75138</xdr:rowOff>
    </xdr:from>
    <xdr:to>
      <xdr:col>6</xdr:col>
      <xdr:colOff>503291</xdr:colOff>
      <xdr:row>8</xdr:row>
      <xdr:rowOff>36451</xdr:rowOff>
    </xdr:to>
    <xdr:sp macro="" textlink="">
      <xdr:nvSpPr>
        <xdr:cNvPr id="3" name="テキスト ボックス 2">
          <a:extLst>
            <a:ext uri="{FF2B5EF4-FFF2-40B4-BE49-F238E27FC236}">
              <a16:creationId xmlns:a16="http://schemas.microsoft.com/office/drawing/2014/main" id="{8180A0C1-A612-4AF5-904B-8034D8B0F026}"/>
            </a:ext>
          </a:extLst>
        </xdr:cNvPr>
        <xdr:cNvSpPr txBox="1"/>
      </xdr:nvSpPr>
      <xdr:spPr>
        <a:xfrm>
          <a:off x="6189526" y="1662638"/>
          <a:ext cx="1126408" cy="41488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474097</xdr:colOff>
      <xdr:row>6</xdr:row>
      <xdr:rowOff>0</xdr:rowOff>
    </xdr:from>
    <xdr:to>
      <xdr:col>3</xdr:col>
      <xdr:colOff>1034142</xdr:colOff>
      <xdr:row>7</xdr:row>
      <xdr:rowOff>169048</xdr:rowOff>
    </xdr:to>
    <xdr:sp macro="" textlink="">
      <xdr:nvSpPr>
        <xdr:cNvPr id="2" name="テキスト ボックス 1">
          <a:extLst>
            <a:ext uri="{FF2B5EF4-FFF2-40B4-BE49-F238E27FC236}">
              <a16:creationId xmlns:a16="http://schemas.microsoft.com/office/drawing/2014/main" id="{094D3AB5-C391-44C1-890A-81B44394C2B3}"/>
            </a:ext>
          </a:extLst>
        </xdr:cNvPr>
        <xdr:cNvSpPr txBox="1"/>
      </xdr:nvSpPr>
      <xdr:spPr>
        <a:xfrm>
          <a:off x="4352677" y="1600200"/>
          <a:ext cx="2030705" cy="3976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276225</xdr:colOff>
      <xdr:row>6</xdr:row>
      <xdr:rowOff>2567</xdr:rowOff>
    </xdr:from>
    <xdr:to>
      <xdr:col>1</xdr:col>
      <xdr:colOff>1400093</xdr:colOff>
      <xdr:row>7</xdr:row>
      <xdr:rowOff>190665</xdr:rowOff>
    </xdr:to>
    <xdr:sp macro="" textlink="">
      <xdr:nvSpPr>
        <xdr:cNvPr id="3" name="テキスト ボックス 2">
          <a:extLst>
            <a:ext uri="{FF2B5EF4-FFF2-40B4-BE49-F238E27FC236}">
              <a16:creationId xmlns:a16="http://schemas.microsoft.com/office/drawing/2014/main" id="{5F3891C9-1D07-4875-892E-F0383D796E2A}"/>
            </a:ext>
          </a:extLst>
        </xdr:cNvPr>
        <xdr:cNvSpPr txBox="1"/>
      </xdr:nvSpPr>
      <xdr:spPr>
        <a:xfrm>
          <a:off x="1983105" y="1602767"/>
          <a:ext cx="112386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474097</xdr:colOff>
      <xdr:row>6</xdr:row>
      <xdr:rowOff>0</xdr:rowOff>
    </xdr:from>
    <xdr:to>
      <xdr:col>3</xdr:col>
      <xdr:colOff>1034142</xdr:colOff>
      <xdr:row>7</xdr:row>
      <xdr:rowOff>169048</xdr:rowOff>
    </xdr:to>
    <xdr:sp macro="" textlink="">
      <xdr:nvSpPr>
        <xdr:cNvPr id="2" name="テキスト ボックス 1">
          <a:extLst>
            <a:ext uri="{FF2B5EF4-FFF2-40B4-BE49-F238E27FC236}">
              <a16:creationId xmlns:a16="http://schemas.microsoft.com/office/drawing/2014/main" id="{193255DF-D8CE-46F5-8116-98ACAE36C980}"/>
            </a:ext>
          </a:extLst>
        </xdr:cNvPr>
        <xdr:cNvSpPr txBox="1"/>
      </xdr:nvSpPr>
      <xdr:spPr>
        <a:xfrm>
          <a:off x="4009777" y="1600200"/>
          <a:ext cx="2030705" cy="3976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入力項目</a:t>
          </a:r>
        </a:p>
      </xdr:txBody>
    </xdr:sp>
    <xdr:clientData/>
  </xdr:twoCellAnchor>
  <xdr:twoCellAnchor>
    <xdr:from>
      <xdr:col>1</xdr:col>
      <xdr:colOff>276225</xdr:colOff>
      <xdr:row>6</xdr:row>
      <xdr:rowOff>2567</xdr:rowOff>
    </xdr:from>
    <xdr:to>
      <xdr:col>1</xdr:col>
      <xdr:colOff>1400093</xdr:colOff>
      <xdr:row>7</xdr:row>
      <xdr:rowOff>190665</xdr:rowOff>
    </xdr:to>
    <xdr:sp macro="" textlink="">
      <xdr:nvSpPr>
        <xdr:cNvPr id="3" name="テキスト ボックス 2">
          <a:extLst>
            <a:ext uri="{FF2B5EF4-FFF2-40B4-BE49-F238E27FC236}">
              <a16:creationId xmlns:a16="http://schemas.microsoft.com/office/drawing/2014/main" id="{D9ECBD62-5062-4670-83E3-ADAC2459FFD9}"/>
            </a:ext>
          </a:extLst>
        </xdr:cNvPr>
        <xdr:cNvSpPr txBox="1"/>
      </xdr:nvSpPr>
      <xdr:spPr>
        <a:xfrm>
          <a:off x="1983105" y="1602767"/>
          <a:ext cx="1123868" cy="41669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変更禁止</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LATEST/CaseSetup_GHN/4_GHN-Process-II_Case_Setup_v2.05.xlsx" TargetMode="External"/><Relationship Id="rId2" Type="http://schemas.openxmlformats.org/officeDocument/2006/relationships/externalLinkPath" Target="https://altairengineering-my.sharepoint.com/personal/ykanemaru_asiapac_altair_com/Documents/PROJECT/C01-TRAINING-DEMO-TEST/B_Training_Materials/LATEST/CaseSetup_GHN/4_GHN-Process-II_Case_Setup_v2.05.xlsx" TargetMode="External"/><Relationship Id="rId1" Type="http://schemas.openxmlformats.org/officeDocument/2006/relationships/externalLinkPath" Target="/personal/ykanemaru_asiapac_altair_com/Documents/PROJECT/C01-TRAINING-DEMO-TEST/B_Training_Materials/LATEST/CaseSetup_GHN/4_GHN-Process-II_Case_Setup_v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ETUP - Voxels &amp; Offsets"/>
      <sheetName val="SETUP - Domain Sizes"/>
      <sheetName val="SETUP - Outputs"/>
    </sheetNames>
    <sheetDataSet>
      <sheetData sheetId="0"/>
      <sheetData sheetId="1">
        <row r="14">
          <cell r="A14">
            <v>4.9028900000000002</v>
          </cell>
          <cell r="B14">
            <v>2.08833</v>
          </cell>
          <cell r="C14">
            <v>1.4683900000000001</v>
          </cell>
          <cell r="E14">
            <v>-0.86751598119735696</v>
          </cell>
          <cell r="F14">
            <v>5.0067901598005449E-6</v>
          </cell>
          <cell r="G14">
            <v>-6.5819998271763299E-3</v>
          </cell>
          <cell r="J14">
            <v>0.01</v>
          </cell>
        </row>
      </sheetData>
      <sheetData sheetId="2"/>
    </sheetDataSet>
  </externalBook>
</externalLink>
</file>

<file path=xl/persons/person.xml><?xml version="1.0" encoding="utf-8"?>
<personList xmlns="http://schemas.microsoft.com/office/spreadsheetml/2018/threadedcomments" xmlns:x="http://schemas.openxmlformats.org/spreadsheetml/2006/main">
  <person displayName="Yuta Kanemaru" id="{22FEB739-D6AF-4088-849C-B0BF745522B1}" userId="S::ykanemaru@asiapac.altair.com::176840c3-13a7-46d9-972b-a9ee2d85ccd5"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5-11-07T05:08:42.57" personId="{22FEB739-D6AF-4088-849C-B0BF745522B1}" id="{721B6774-6B78-48B4-9CC5-8C36909F29ED}">
    <text>Apply if box_size_with_parts_and_factors=True</text>
  </threadedComment>
  <threadedComment ref="D2" dT="2025-11-07T05:08:46.53" personId="{22FEB739-D6AF-4088-849C-B0BF745522B1}" id="{29D80C54-6AA3-4131-9398-DCF2D5C575C2}">
    <text xml:space="preserve">Apply if box_size_with_parts_and_factors=True
</text>
  </threadedComment>
  <threadedComment ref="E2" dT="2025-11-07T05:01:11.16" personId="{22FEB739-D6AF-4088-849C-B0BF745522B1}" id="{E7A67077-EDA9-4360-A54D-F61E7997D6E2}">
    <text>Put factors/values in following order in m:
xMin,xMax,yMin,yMax,zMin,zMax
Make sure you start with ', otherwise excel will not allow you to type in.</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5-11-06T03:26:21.74" personId="{22FEB739-D6AF-4088-849C-B0BF745522B1}" id="{73AB8CAC-CA1E-445B-B4F5-FD1E6353F86A}">
    <text>If you select all parts in the session, keep cell brank.</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5-11-06T01:02:25.92" personId="{22FEB739-D6AF-4088-849C-B0BF745522B1}" id="{8E8A7CEC-FD12-445B-86BE-BB67D18995FB}">
    <text>Make sure the name is same as property name in vwt API.</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6268B-310C-4A1E-B9BA-4C557CC70685}">
  <dimension ref="A1:J42"/>
  <sheetViews>
    <sheetView tabSelected="1" topLeftCell="B1" zoomScale="130" zoomScaleNormal="130" workbookViewId="0">
      <selection activeCell="D6" sqref="D6"/>
    </sheetView>
  </sheetViews>
  <sheetFormatPr defaultColWidth="8.875" defaultRowHeight="13.5" x14ac:dyDescent="0.15"/>
  <cols>
    <col min="1" max="1" width="25.125" style="1" customWidth="1"/>
    <col min="2" max="2" width="46.125" style="3" customWidth="1"/>
    <col min="3" max="3" width="38.125" style="3" customWidth="1"/>
    <col min="4" max="4" width="79.875" style="11" customWidth="1"/>
    <col min="5" max="5" width="13" style="8" customWidth="1"/>
    <col min="6" max="6" width="112.375" style="3" bestFit="1" customWidth="1"/>
    <col min="7" max="16384" width="8.875" style="3"/>
  </cols>
  <sheetData>
    <row r="1" spans="1:10" s="1" customFormat="1" x14ac:dyDescent="0.15">
      <c r="A1" s="1" t="s">
        <v>135</v>
      </c>
      <c r="B1" s="1" t="s">
        <v>134</v>
      </c>
      <c r="C1" s="15" t="s">
        <v>420</v>
      </c>
      <c r="D1" s="16" t="s">
        <v>15</v>
      </c>
      <c r="E1" s="7" t="s">
        <v>23</v>
      </c>
      <c r="F1" s="1" t="s">
        <v>16</v>
      </c>
    </row>
    <row r="2" spans="1:10" x14ac:dyDescent="0.15">
      <c r="A2" s="1" t="s">
        <v>343</v>
      </c>
      <c r="B2" s="3" t="s">
        <v>26</v>
      </c>
      <c r="C2" s="12" t="s">
        <v>17</v>
      </c>
      <c r="D2" s="10" t="s">
        <v>421</v>
      </c>
      <c r="F2" s="3" t="s">
        <v>18</v>
      </c>
    </row>
    <row r="3" spans="1:10" x14ac:dyDescent="0.15">
      <c r="B3" s="3" t="s">
        <v>27</v>
      </c>
      <c r="C3" s="12" t="s">
        <v>19</v>
      </c>
      <c r="D3" s="10" t="s">
        <v>375</v>
      </c>
      <c r="F3" s="3" t="s">
        <v>283</v>
      </c>
      <c r="J3" s="10"/>
    </row>
    <row r="4" spans="1:10" x14ac:dyDescent="0.15">
      <c r="B4" s="3" t="s">
        <v>345</v>
      </c>
      <c r="C4" s="12" t="s">
        <v>344</v>
      </c>
      <c r="D4" s="10" t="s">
        <v>422</v>
      </c>
      <c r="F4" s="3" t="s">
        <v>346</v>
      </c>
      <c r="J4" s="10"/>
    </row>
    <row r="5" spans="1:10" x14ac:dyDescent="0.15">
      <c r="B5" s="3" t="s">
        <v>348</v>
      </c>
      <c r="C5" s="12" t="s">
        <v>347</v>
      </c>
      <c r="D5" s="10" t="s">
        <v>423</v>
      </c>
      <c r="F5" s="3" t="s">
        <v>349</v>
      </c>
      <c r="J5" s="10"/>
    </row>
    <row r="6" spans="1:10" x14ac:dyDescent="0.15">
      <c r="A6" s="1" t="s">
        <v>136</v>
      </c>
      <c r="B6" s="3" t="s">
        <v>89</v>
      </c>
      <c r="C6" s="12" t="s">
        <v>91</v>
      </c>
      <c r="D6" s="107" t="s">
        <v>372</v>
      </c>
      <c r="F6" s="3" t="s">
        <v>101</v>
      </c>
    </row>
    <row r="7" spans="1:10" x14ac:dyDescent="0.15">
      <c r="B7" s="3" t="s">
        <v>97</v>
      </c>
      <c r="C7" s="12" t="s">
        <v>92</v>
      </c>
      <c r="D7" s="10">
        <v>30</v>
      </c>
      <c r="E7" s="8" t="s">
        <v>90</v>
      </c>
      <c r="F7" s="3" t="s">
        <v>102</v>
      </c>
    </row>
    <row r="8" spans="1:10" x14ac:dyDescent="0.15">
      <c r="B8" s="3" t="s">
        <v>99</v>
      </c>
      <c r="C8" s="12" t="s">
        <v>93</v>
      </c>
      <c r="D8" s="10">
        <v>15</v>
      </c>
      <c r="E8" s="8" t="s">
        <v>90</v>
      </c>
      <c r="F8" s="3" t="s">
        <v>102</v>
      </c>
    </row>
    <row r="9" spans="1:10" x14ac:dyDescent="0.15">
      <c r="B9" s="3" t="s">
        <v>98</v>
      </c>
      <c r="C9" s="12" t="s">
        <v>94</v>
      </c>
      <c r="D9" s="10">
        <v>1.1000000000000001</v>
      </c>
      <c r="E9" s="8" t="s">
        <v>96</v>
      </c>
      <c r="F9" s="3" t="s">
        <v>103</v>
      </c>
    </row>
    <row r="10" spans="1:10" x14ac:dyDescent="0.15">
      <c r="B10" s="3" t="s">
        <v>100</v>
      </c>
      <c r="C10" s="12" t="s">
        <v>95</v>
      </c>
      <c r="D10" s="10">
        <v>0.3</v>
      </c>
      <c r="E10" s="8" t="s">
        <v>96</v>
      </c>
      <c r="F10" s="3" t="s">
        <v>103</v>
      </c>
    </row>
    <row r="11" spans="1:10" x14ac:dyDescent="0.15">
      <c r="B11" s="3" t="s">
        <v>411</v>
      </c>
      <c r="C11" s="12" t="s">
        <v>412</v>
      </c>
      <c r="D11" s="10">
        <v>0.3</v>
      </c>
      <c r="E11" s="8" t="s">
        <v>96</v>
      </c>
      <c r="F11" s="3" t="s">
        <v>413</v>
      </c>
    </row>
    <row r="12" spans="1:10" x14ac:dyDescent="0.15">
      <c r="A12" s="1" t="s">
        <v>401</v>
      </c>
      <c r="B12" s="3" t="s">
        <v>390</v>
      </c>
      <c r="C12" s="12" t="s">
        <v>391</v>
      </c>
      <c r="D12" s="10">
        <v>1.1000000000000001</v>
      </c>
      <c r="E12" s="8" t="s">
        <v>96</v>
      </c>
      <c r="F12" s="3" t="s">
        <v>392</v>
      </c>
    </row>
    <row r="13" spans="1:10" x14ac:dyDescent="0.15">
      <c r="B13" s="3" t="s">
        <v>393</v>
      </c>
      <c r="C13" s="12" t="s">
        <v>394</v>
      </c>
      <c r="D13" s="10">
        <v>1.1000000000000001</v>
      </c>
      <c r="E13" s="8" t="s">
        <v>96</v>
      </c>
      <c r="F13" s="3" t="s">
        <v>395</v>
      </c>
    </row>
    <row r="14" spans="1:10" x14ac:dyDescent="0.15">
      <c r="B14" s="3" t="s">
        <v>351</v>
      </c>
      <c r="C14" s="12" t="s">
        <v>354</v>
      </c>
      <c r="D14" s="107" t="s">
        <v>373</v>
      </c>
      <c r="F14" s="3" t="s">
        <v>367</v>
      </c>
    </row>
    <row r="15" spans="1:10" x14ac:dyDescent="0.15">
      <c r="B15" s="3" t="s">
        <v>352</v>
      </c>
      <c r="C15" s="12" t="s">
        <v>352</v>
      </c>
      <c r="D15" s="110">
        <v>4</v>
      </c>
      <c r="F15" s="3" t="s">
        <v>368</v>
      </c>
    </row>
    <row r="16" spans="1:10" x14ac:dyDescent="0.15">
      <c r="B16" s="3" t="s">
        <v>353</v>
      </c>
      <c r="C16" s="12" t="s">
        <v>353</v>
      </c>
      <c r="D16" s="110">
        <v>1</v>
      </c>
      <c r="F16" s="3" t="s">
        <v>369</v>
      </c>
    </row>
    <row r="17" spans="1:6" x14ac:dyDescent="0.15">
      <c r="B17" s="3" t="s">
        <v>204</v>
      </c>
      <c r="C17" s="12" t="s">
        <v>402</v>
      </c>
      <c r="D17" s="9" t="s">
        <v>333</v>
      </c>
      <c r="F17" s="3" t="s">
        <v>403</v>
      </c>
    </row>
    <row r="18" spans="1:6" x14ac:dyDescent="0.15">
      <c r="B18" s="3" t="s">
        <v>405</v>
      </c>
      <c r="C18" s="12" t="s">
        <v>404</v>
      </c>
      <c r="D18" s="107" t="s">
        <v>373</v>
      </c>
      <c r="F18" s="3" t="s">
        <v>406</v>
      </c>
    </row>
    <row r="19" spans="1:6" x14ac:dyDescent="0.15">
      <c r="A19" s="1" t="s">
        <v>137</v>
      </c>
      <c r="B19" s="3" t="s">
        <v>28</v>
      </c>
      <c r="C19" s="12" t="s">
        <v>21</v>
      </c>
      <c r="D19" s="10">
        <v>33.332999999999998</v>
      </c>
      <c r="E19" s="8" t="s">
        <v>22</v>
      </c>
      <c r="F19" s="3" t="s">
        <v>24</v>
      </c>
    </row>
    <row r="20" spans="1:6" x14ac:dyDescent="0.15">
      <c r="B20" s="3" t="s">
        <v>30</v>
      </c>
      <c r="C20" s="12" t="s">
        <v>31</v>
      </c>
      <c r="D20" s="10">
        <v>0</v>
      </c>
      <c r="E20" s="8" t="s">
        <v>32</v>
      </c>
      <c r="F20" s="3" t="s">
        <v>78</v>
      </c>
    </row>
    <row r="21" spans="1:6" x14ac:dyDescent="0.15">
      <c r="B21" s="3" t="s">
        <v>162</v>
      </c>
      <c r="C21" s="12" t="s">
        <v>158</v>
      </c>
      <c r="D21" s="107" t="s">
        <v>373</v>
      </c>
      <c r="F21" s="3" t="s">
        <v>161</v>
      </c>
    </row>
    <row r="22" spans="1:6" x14ac:dyDescent="0.15">
      <c r="B22" s="3" t="s">
        <v>37</v>
      </c>
      <c r="C22" s="12" t="s">
        <v>116</v>
      </c>
      <c r="D22" s="10">
        <v>0.01</v>
      </c>
      <c r="E22" s="8" t="s">
        <v>46</v>
      </c>
      <c r="F22" s="3" t="s">
        <v>171</v>
      </c>
    </row>
    <row r="23" spans="1:6" x14ac:dyDescent="0.15">
      <c r="B23" s="3" t="s">
        <v>169</v>
      </c>
      <c r="C23" s="12" t="s">
        <v>172</v>
      </c>
      <c r="D23" s="107" t="s">
        <v>373</v>
      </c>
      <c r="F23" s="3" t="s">
        <v>170</v>
      </c>
    </row>
    <row r="24" spans="1:6" x14ac:dyDescent="0.15">
      <c r="B24" s="3" t="s">
        <v>86</v>
      </c>
      <c r="C24" s="12" t="s">
        <v>88</v>
      </c>
      <c r="D24" s="107" t="s">
        <v>372</v>
      </c>
      <c r="F24" s="3" t="s">
        <v>87</v>
      </c>
    </row>
    <row r="25" spans="1:6" x14ac:dyDescent="0.15">
      <c r="B25" s="3" t="s">
        <v>104</v>
      </c>
      <c r="C25" s="12" t="s">
        <v>105</v>
      </c>
      <c r="D25" s="107" t="s">
        <v>372</v>
      </c>
      <c r="F25" s="3" t="s">
        <v>106</v>
      </c>
    </row>
    <row r="26" spans="1:6" x14ac:dyDescent="0.15">
      <c r="A26" s="1" t="s">
        <v>165</v>
      </c>
      <c r="B26" s="3" t="s">
        <v>121</v>
      </c>
      <c r="C26" s="12" t="s">
        <v>120</v>
      </c>
      <c r="D26" s="107" t="s">
        <v>372</v>
      </c>
      <c r="F26" s="3" t="s">
        <v>122</v>
      </c>
    </row>
    <row r="27" spans="1:6" x14ac:dyDescent="0.15">
      <c r="B27" s="3" t="s">
        <v>124</v>
      </c>
      <c r="C27" s="12" t="s">
        <v>123</v>
      </c>
      <c r="D27" s="107" t="s">
        <v>372</v>
      </c>
      <c r="F27" s="3" t="s">
        <v>126</v>
      </c>
    </row>
    <row r="28" spans="1:6" x14ac:dyDescent="0.15">
      <c r="B28" s="3" t="s">
        <v>166</v>
      </c>
      <c r="C28" s="12" t="s">
        <v>167</v>
      </c>
      <c r="D28" s="111">
        <v>0</v>
      </c>
      <c r="E28" s="8" t="s">
        <v>46</v>
      </c>
      <c r="F28" s="3" t="s">
        <v>168</v>
      </c>
    </row>
    <row r="29" spans="1:6" x14ac:dyDescent="0.15">
      <c r="B29" s="3" t="s">
        <v>125</v>
      </c>
      <c r="C29" s="12" t="s">
        <v>117</v>
      </c>
      <c r="D29" s="10">
        <v>-3</v>
      </c>
      <c r="E29" s="8" t="s">
        <v>46</v>
      </c>
      <c r="F29" s="3" t="s">
        <v>127</v>
      </c>
    </row>
    <row r="30" spans="1:6" x14ac:dyDescent="0.15">
      <c r="B30" s="3" t="s">
        <v>164</v>
      </c>
      <c r="C30" s="12" t="s">
        <v>163</v>
      </c>
      <c r="D30" s="107" t="s">
        <v>372</v>
      </c>
      <c r="F30" s="3" t="s">
        <v>366</v>
      </c>
    </row>
    <row r="31" spans="1:6" x14ac:dyDescent="0.15">
      <c r="B31" s="3" t="s">
        <v>83</v>
      </c>
      <c r="C31" s="12" t="s">
        <v>128</v>
      </c>
      <c r="D31" s="107" t="s">
        <v>373</v>
      </c>
      <c r="F31" s="3" t="s">
        <v>84</v>
      </c>
    </row>
    <row r="32" spans="1:6" x14ac:dyDescent="0.15">
      <c r="B32" s="3" t="s">
        <v>52</v>
      </c>
      <c r="C32" s="12" t="s">
        <v>73</v>
      </c>
      <c r="D32" s="107" t="s">
        <v>373</v>
      </c>
      <c r="F32" s="3" t="s">
        <v>53</v>
      </c>
    </row>
    <row r="33" spans="1:6" x14ac:dyDescent="0.15">
      <c r="B33" s="3" t="s">
        <v>159</v>
      </c>
      <c r="C33" s="12" t="s">
        <v>160</v>
      </c>
      <c r="D33" s="107" t="s">
        <v>372</v>
      </c>
      <c r="F33" s="3" t="s">
        <v>370</v>
      </c>
    </row>
    <row r="34" spans="1:6" x14ac:dyDescent="0.15">
      <c r="A34" s="1" t="s">
        <v>50</v>
      </c>
      <c r="B34" s="3" t="s">
        <v>50</v>
      </c>
      <c r="C34" s="12" t="s">
        <v>85</v>
      </c>
      <c r="D34" s="107" t="s">
        <v>372</v>
      </c>
      <c r="F34" s="3" t="s">
        <v>54</v>
      </c>
    </row>
    <row r="35" spans="1:6" x14ac:dyDescent="0.15">
      <c r="A35" s="1" t="s">
        <v>141</v>
      </c>
      <c r="B35" s="3" t="s">
        <v>144</v>
      </c>
      <c r="C35" s="12" t="s">
        <v>142</v>
      </c>
      <c r="D35" s="107" t="s">
        <v>372</v>
      </c>
      <c r="F35" s="3" t="s">
        <v>146</v>
      </c>
    </row>
    <row r="36" spans="1:6" x14ac:dyDescent="0.15">
      <c r="B36" s="3" t="s">
        <v>145</v>
      </c>
      <c r="C36" s="12" t="s">
        <v>143</v>
      </c>
      <c r="D36" s="107" t="s">
        <v>373</v>
      </c>
      <c r="F36" s="3" t="s">
        <v>147</v>
      </c>
    </row>
    <row r="37" spans="1:6" x14ac:dyDescent="0.15">
      <c r="A37" s="1" t="s">
        <v>138</v>
      </c>
      <c r="B37" s="3" t="s">
        <v>74</v>
      </c>
      <c r="C37" s="12" t="s">
        <v>29</v>
      </c>
      <c r="D37" s="107" t="s">
        <v>373</v>
      </c>
      <c r="F37" s="3" t="s">
        <v>51</v>
      </c>
    </row>
    <row r="38" spans="1:6" x14ac:dyDescent="0.15">
      <c r="A38" s="1" t="s">
        <v>139</v>
      </c>
      <c r="B38" s="3" t="s">
        <v>210</v>
      </c>
      <c r="C38" s="12" t="s">
        <v>209</v>
      </c>
      <c r="D38" s="107" t="s">
        <v>372</v>
      </c>
      <c r="F38" s="3" t="s">
        <v>211</v>
      </c>
    </row>
    <row r="39" spans="1:6" x14ac:dyDescent="0.15">
      <c r="B39" s="3" t="s">
        <v>119</v>
      </c>
      <c r="C39" s="12" t="s">
        <v>118</v>
      </c>
      <c r="D39" s="107" t="s">
        <v>373</v>
      </c>
      <c r="F39" s="3" t="s">
        <v>414</v>
      </c>
    </row>
    <row r="40" spans="1:6" x14ac:dyDescent="0.15">
      <c r="B40" s="3" t="s">
        <v>384</v>
      </c>
      <c r="C40" s="12" t="s">
        <v>385</v>
      </c>
      <c r="D40" s="107" t="s">
        <v>417</v>
      </c>
      <c r="F40" s="3" t="s">
        <v>396</v>
      </c>
    </row>
    <row r="41" spans="1:6" x14ac:dyDescent="0.15">
      <c r="A41" s="1" t="s">
        <v>140</v>
      </c>
      <c r="B41" s="3" t="s">
        <v>68</v>
      </c>
      <c r="C41" s="12" t="s">
        <v>70</v>
      </c>
      <c r="D41" s="107" t="s">
        <v>372</v>
      </c>
      <c r="F41" s="3" t="s">
        <v>69</v>
      </c>
    </row>
    <row r="42" spans="1:6" x14ac:dyDescent="0.15">
      <c r="B42" s="3" t="s">
        <v>49</v>
      </c>
      <c r="C42" s="12" t="s">
        <v>48</v>
      </c>
      <c r="D42" s="10">
        <v>2026.1</v>
      </c>
      <c r="F42" s="3" t="s">
        <v>55</v>
      </c>
    </row>
  </sheetData>
  <phoneticPr fontId="1"/>
  <dataValidations count="4">
    <dataValidation type="list" allowBlank="1" showInputMessage="1" showErrorMessage="1" sqref="D16" xr:uid="{5FE1A4EA-692B-47E1-8E33-0BCE6C6973C0}">
      <formula1>"1,2"</formula1>
    </dataValidation>
    <dataValidation type="list" allowBlank="1" showInputMessage="1" showErrorMessage="1" sqref="D6 D23:D27 D21 D41 D14 D30:D39 D18" xr:uid="{629C0AB6-1EDB-4642-96A0-ADE7192EF04B}">
      <formula1>"'True,'False"</formula1>
    </dataValidation>
    <dataValidation type="list" allowBlank="1" showInputMessage="1" showErrorMessage="1" sqref="D40" xr:uid="{62EDA6D2-AD40-4910-8606-15F4EAF1CEC3}">
      <formula1>"External_aerodynamics, GHN"</formula1>
    </dataValidation>
    <dataValidation type="list" allowBlank="1" showInputMessage="1" showErrorMessage="1" sqref="D17" xr:uid="{4B5F10FE-7820-440A-9247-984EF7058427}">
      <formula1>"ensight,h3d,ensight_and_h3d"</formula1>
    </dataValidation>
  </dataValidation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CE76-6EB4-440B-A3D5-5B331017FBB6}">
  <dimension ref="A1:D14"/>
  <sheetViews>
    <sheetView workbookViewId="0">
      <selection activeCell="B54" sqref="B54"/>
    </sheetView>
  </sheetViews>
  <sheetFormatPr defaultRowHeight="13.5" x14ac:dyDescent="0.15"/>
  <cols>
    <col min="2" max="2" width="35.125" customWidth="1"/>
    <col min="3" max="3" width="26.125" customWidth="1"/>
    <col min="4" max="4" width="141.25" bestFit="1" customWidth="1"/>
  </cols>
  <sheetData>
    <row r="1" spans="1:4" x14ac:dyDescent="0.15">
      <c r="A1" s="1" t="s">
        <v>25</v>
      </c>
      <c r="B1" s="15" t="s">
        <v>14</v>
      </c>
      <c r="C1" s="16" t="s">
        <v>15</v>
      </c>
      <c r="D1" s="1" t="s">
        <v>16</v>
      </c>
    </row>
    <row r="2" spans="1:4" x14ac:dyDescent="0.15">
      <c r="B2" s="13" t="s">
        <v>153</v>
      </c>
      <c r="C2" s="9" t="s">
        <v>290</v>
      </c>
      <c r="D2" t="s">
        <v>416</v>
      </c>
    </row>
    <row r="3" spans="1:4" x14ac:dyDescent="0.15">
      <c r="B3" s="13" t="s">
        <v>418</v>
      </c>
      <c r="C3" s="9"/>
      <c r="D3" t="s">
        <v>419</v>
      </c>
    </row>
    <row r="4" spans="1:4" x14ac:dyDescent="0.15">
      <c r="B4" s="13" t="s">
        <v>63</v>
      </c>
      <c r="C4" s="9" t="s">
        <v>79</v>
      </c>
      <c r="D4" t="s">
        <v>284</v>
      </c>
    </row>
    <row r="5" spans="1:4" x14ac:dyDescent="0.15">
      <c r="B5" s="13" t="s">
        <v>64</v>
      </c>
      <c r="C5" s="9" t="s">
        <v>80</v>
      </c>
      <c r="D5" t="s">
        <v>285</v>
      </c>
    </row>
    <row r="6" spans="1:4" x14ac:dyDescent="0.15">
      <c r="B6" s="13" t="s">
        <v>65</v>
      </c>
      <c r="C6" s="9" t="s">
        <v>81</v>
      </c>
      <c r="D6" t="s">
        <v>286</v>
      </c>
    </row>
    <row r="7" spans="1:4" x14ac:dyDescent="0.15">
      <c r="B7" s="13" t="s">
        <v>66</v>
      </c>
      <c r="C7" s="9" t="s">
        <v>82</v>
      </c>
      <c r="D7" t="s">
        <v>287</v>
      </c>
    </row>
    <row r="8" spans="1:4" x14ac:dyDescent="0.15">
      <c r="B8" s="13" t="s">
        <v>115</v>
      </c>
      <c r="C8" s="18">
        <v>0</v>
      </c>
      <c r="D8" t="s">
        <v>129</v>
      </c>
    </row>
    <row r="9" spans="1:4" x14ac:dyDescent="0.15">
      <c r="B9" s="13" t="s">
        <v>67</v>
      </c>
      <c r="C9" s="9" t="s">
        <v>376</v>
      </c>
      <c r="D9" t="s">
        <v>289</v>
      </c>
    </row>
    <row r="10" spans="1:4" x14ac:dyDescent="0.15">
      <c r="B10" s="13" t="s">
        <v>107</v>
      </c>
      <c r="C10" s="9" t="s">
        <v>111</v>
      </c>
      <c r="D10" t="s">
        <v>288</v>
      </c>
    </row>
    <row r="11" spans="1:4" x14ac:dyDescent="0.15">
      <c r="B11" s="13" t="s">
        <v>108</v>
      </c>
      <c r="C11" s="9" t="s">
        <v>112</v>
      </c>
      <c r="D11" t="s">
        <v>288</v>
      </c>
    </row>
    <row r="12" spans="1:4" x14ac:dyDescent="0.15">
      <c r="B12" s="13" t="s">
        <v>109</v>
      </c>
      <c r="C12" s="9" t="s">
        <v>113</v>
      </c>
      <c r="D12" t="s">
        <v>288</v>
      </c>
    </row>
    <row r="13" spans="1:4" x14ac:dyDescent="0.15">
      <c r="B13" s="13" t="s">
        <v>110</v>
      </c>
      <c r="C13" s="9" t="s">
        <v>114</v>
      </c>
      <c r="D13" t="s">
        <v>288</v>
      </c>
    </row>
    <row r="14" spans="1:4" x14ac:dyDescent="0.15">
      <c r="B14" s="13" t="s">
        <v>398</v>
      </c>
      <c r="C14" s="9" t="s">
        <v>399</v>
      </c>
      <c r="D14" t="s">
        <v>400</v>
      </c>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74636-3C43-45C2-ADDE-2A08AFEE6CE3}">
  <dimension ref="A1:G8"/>
  <sheetViews>
    <sheetView workbookViewId="0">
      <selection activeCell="D16" sqref="D16"/>
    </sheetView>
  </sheetViews>
  <sheetFormatPr defaultRowHeight="13.5" x14ac:dyDescent="0.15"/>
  <cols>
    <col min="1" max="1" width="28.625" customWidth="1"/>
    <col min="2" max="2" width="30.875" customWidth="1"/>
    <col min="6" max="6" width="40.75" customWidth="1"/>
  </cols>
  <sheetData>
    <row r="1" spans="1:7" x14ac:dyDescent="0.15">
      <c r="A1" s="1" t="s">
        <v>25</v>
      </c>
      <c r="B1" s="15" t="s">
        <v>14</v>
      </c>
      <c r="C1" s="15" t="s">
        <v>33</v>
      </c>
      <c r="D1" s="15" t="s">
        <v>34</v>
      </c>
      <c r="E1" s="1" t="s">
        <v>45</v>
      </c>
      <c r="F1" s="1" t="s">
        <v>16</v>
      </c>
    </row>
    <row r="2" spans="1:7" x14ac:dyDescent="0.15">
      <c r="A2" t="s">
        <v>56</v>
      </c>
      <c r="B2" s="13" t="s">
        <v>35</v>
      </c>
      <c r="C2" s="9">
        <v>0.4</v>
      </c>
      <c r="D2" s="9">
        <v>0.3</v>
      </c>
      <c r="E2" t="s">
        <v>46</v>
      </c>
      <c r="F2" t="s">
        <v>44</v>
      </c>
    </row>
    <row r="3" spans="1:7" x14ac:dyDescent="0.15">
      <c r="A3" t="s">
        <v>57</v>
      </c>
      <c r="B3" s="13" t="s">
        <v>36</v>
      </c>
      <c r="C3" s="9">
        <v>8</v>
      </c>
      <c r="D3" s="9">
        <v>1.2</v>
      </c>
      <c r="E3" t="s">
        <v>46</v>
      </c>
      <c r="F3" t="s">
        <v>44</v>
      </c>
    </row>
    <row r="4" spans="1:7" x14ac:dyDescent="0.15">
      <c r="A4" t="s">
        <v>58</v>
      </c>
      <c r="B4" s="13" t="s">
        <v>38</v>
      </c>
      <c r="C4" s="9">
        <v>-1.4</v>
      </c>
      <c r="D4" s="9">
        <v>-0.74</v>
      </c>
      <c r="E4" t="s">
        <v>46</v>
      </c>
      <c r="F4" t="s">
        <v>47</v>
      </c>
      <c r="G4" t="s">
        <v>43</v>
      </c>
    </row>
    <row r="5" spans="1:7" x14ac:dyDescent="0.15">
      <c r="A5" t="s">
        <v>59</v>
      </c>
      <c r="B5" s="13" t="s">
        <v>39</v>
      </c>
      <c r="C5" s="9">
        <v>-1.4</v>
      </c>
      <c r="D5" s="9">
        <v>0.74</v>
      </c>
      <c r="E5" t="s">
        <v>46</v>
      </c>
      <c r="F5" t="s">
        <v>47</v>
      </c>
      <c r="G5" t="s">
        <v>43</v>
      </c>
    </row>
    <row r="6" spans="1:7" x14ac:dyDescent="0.15">
      <c r="A6" t="s">
        <v>60</v>
      </c>
      <c r="B6" s="13" t="s">
        <v>40</v>
      </c>
      <c r="C6" s="9">
        <v>1.4</v>
      </c>
      <c r="D6" s="9">
        <v>-0.74</v>
      </c>
      <c r="E6" t="s">
        <v>46</v>
      </c>
      <c r="F6" t="s">
        <v>47</v>
      </c>
      <c r="G6" t="s">
        <v>43</v>
      </c>
    </row>
    <row r="7" spans="1:7" x14ac:dyDescent="0.15">
      <c r="A7" t="s">
        <v>61</v>
      </c>
      <c r="B7" s="13" t="s">
        <v>41</v>
      </c>
      <c r="C7" s="9">
        <v>1.4</v>
      </c>
      <c r="D7" s="9">
        <v>0.74</v>
      </c>
      <c r="E7" t="s">
        <v>46</v>
      </c>
      <c r="F7" t="s">
        <v>47</v>
      </c>
      <c r="G7" t="s">
        <v>43</v>
      </c>
    </row>
    <row r="8" spans="1:7" x14ac:dyDescent="0.15">
      <c r="A8" t="s">
        <v>62</v>
      </c>
      <c r="B8" s="13" t="s">
        <v>42</v>
      </c>
      <c r="C8" s="9">
        <v>0</v>
      </c>
      <c r="D8" s="9">
        <v>0</v>
      </c>
      <c r="E8" t="s">
        <v>46</v>
      </c>
      <c r="F8" t="s">
        <v>47</v>
      </c>
    </row>
  </sheetData>
  <phoneticPr fontId="1"/>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5FBEB-982E-4990-A1B0-B0648BD297DF}">
  <dimension ref="A1:F22"/>
  <sheetViews>
    <sheetView zoomScaleNormal="100" workbookViewId="0">
      <selection activeCell="D56" sqref="D56"/>
    </sheetView>
  </sheetViews>
  <sheetFormatPr defaultColWidth="8.875" defaultRowHeight="13.5" x14ac:dyDescent="0.15"/>
  <cols>
    <col min="1" max="1" width="27.875" style="3" customWidth="1"/>
    <col min="2" max="2" width="19.25" style="3" customWidth="1"/>
    <col min="3" max="3" width="15.75" style="3" bestFit="1" customWidth="1"/>
    <col min="4" max="4" width="27.75" style="3" customWidth="1"/>
    <col min="5" max="5" width="23.125" style="3" customWidth="1"/>
    <col min="6" max="6" width="33" style="3" customWidth="1"/>
    <col min="7" max="16384" width="8.875" style="3"/>
  </cols>
  <sheetData>
    <row r="1" spans="1:6" ht="27" x14ac:dyDescent="0.15">
      <c r="A1" s="17" t="s">
        <v>0</v>
      </c>
      <c r="B1" s="17" t="s">
        <v>75</v>
      </c>
      <c r="C1" s="17" t="s">
        <v>4</v>
      </c>
      <c r="D1" s="17" t="s">
        <v>1</v>
      </c>
      <c r="E1" s="17" t="s">
        <v>2</v>
      </c>
      <c r="F1" s="17" t="s">
        <v>3</v>
      </c>
    </row>
    <row r="2" spans="1:6" x14ac:dyDescent="0.15">
      <c r="A2" s="4" t="s">
        <v>378</v>
      </c>
      <c r="B2" s="4">
        <v>43</v>
      </c>
      <c r="C2" s="5">
        <v>192</v>
      </c>
      <c r="D2" s="14" t="str">
        <f>$A2&amp;"_Inlet"</f>
        <v>c_HX1_Inlet</v>
      </c>
      <c r="E2" s="14" t="str">
        <f>$A2&amp;"_frame"</f>
        <v>c_HX1_frame</v>
      </c>
      <c r="F2" s="14" t="str">
        <f>$A2&amp;"_Outlet"</f>
        <v>c_HX1_Outlet</v>
      </c>
    </row>
    <row r="3" spans="1:6" x14ac:dyDescent="0.15">
      <c r="A3" s="4" t="s">
        <v>377</v>
      </c>
      <c r="B3" s="4">
        <v>54</v>
      </c>
      <c r="C3" s="5">
        <v>420</v>
      </c>
      <c r="D3" s="14" t="str">
        <f t="shared" ref="D3" si="0">$A3&amp;"_Inlet"</f>
        <v>c_HX2_Inlet</v>
      </c>
      <c r="E3" s="14" t="str">
        <f t="shared" ref="E3" si="1">$A3&amp;"_frame"</f>
        <v>c_HX2_frame</v>
      </c>
      <c r="F3" s="14" t="str">
        <f t="shared" ref="F3" si="2">$A3&amp;"_Outlet"</f>
        <v>c_HX2_Outlet</v>
      </c>
    </row>
    <row r="4" spans="1:6" x14ac:dyDescent="0.15">
      <c r="A4" s="4"/>
      <c r="B4" s="4"/>
      <c r="C4" s="5"/>
      <c r="D4" s="14"/>
      <c r="E4" s="14"/>
      <c r="F4" s="14"/>
    </row>
    <row r="9" spans="1:6" x14ac:dyDescent="0.15">
      <c r="B9" s="1" t="s">
        <v>6</v>
      </c>
    </row>
    <row r="10" spans="1:6" x14ac:dyDescent="0.15">
      <c r="B10" s="3" t="s">
        <v>7</v>
      </c>
    </row>
    <row r="11" spans="1:6" x14ac:dyDescent="0.15">
      <c r="B11" s="3" t="s">
        <v>8</v>
      </c>
    </row>
    <row r="12" spans="1:6" x14ac:dyDescent="0.15">
      <c r="B12" s="3" t="s">
        <v>9</v>
      </c>
    </row>
    <row r="13" spans="1:6" x14ac:dyDescent="0.15">
      <c r="B13" s="3" t="s">
        <v>20</v>
      </c>
    </row>
    <row r="16" spans="1:6" x14ac:dyDescent="0.15">
      <c r="B16" s="1" t="s">
        <v>5</v>
      </c>
    </row>
    <row r="17" spans="2:2" x14ac:dyDescent="0.15">
      <c r="B17" s="6" t="s">
        <v>10</v>
      </c>
    </row>
    <row r="18" spans="2:2" x14ac:dyDescent="0.15">
      <c r="B18" s="6" t="s">
        <v>11</v>
      </c>
    </row>
    <row r="19" spans="2:2" x14ac:dyDescent="0.15">
      <c r="B19" s="6" t="s">
        <v>12</v>
      </c>
    </row>
    <row r="20" spans="2:2" x14ac:dyDescent="0.15">
      <c r="B20" s="6" t="s">
        <v>13</v>
      </c>
    </row>
    <row r="21" spans="2:2" x14ac:dyDescent="0.15">
      <c r="B21" s="6" t="s">
        <v>76</v>
      </c>
    </row>
    <row r="22" spans="2:2" x14ac:dyDescent="0.15">
      <c r="B22" s="6" t="s">
        <v>77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22DF-6F95-4329-91B7-2ACE1795DAB5}">
  <dimension ref="B1:E12"/>
  <sheetViews>
    <sheetView zoomScaleNormal="100" workbookViewId="0">
      <selection activeCell="C9" sqref="C9"/>
    </sheetView>
  </sheetViews>
  <sheetFormatPr defaultColWidth="8.875" defaultRowHeight="13.5" x14ac:dyDescent="0.15"/>
  <cols>
    <col min="1" max="1" width="14.25" style="3" customWidth="1"/>
    <col min="2" max="2" width="34.5" style="3" customWidth="1"/>
    <col min="3" max="3" width="37.375" style="3" customWidth="1"/>
    <col min="4" max="4" width="15.75" style="8" customWidth="1"/>
    <col min="5" max="5" width="92.625" style="21" customWidth="1"/>
    <col min="6" max="6" width="23.125" style="3" customWidth="1"/>
    <col min="7" max="7" width="33" style="3" customWidth="1"/>
    <col min="8" max="16384" width="8.875" style="3"/>
  </cols>
  <sheetData>
    <row r="1" spans="2:5" x14ac:dyDescent="0.15">
      <c r="B1" s="17" t="s">
        <v>14</v>
      </c>
      <c r="C1" s="17" t="s">
        <v>15</v>
      </c>
      <c r="D1" s="2" t="s">
        <v>156</v>
      </c>
      <c r="E1" s="2" t="s">
        <v>148</v>
      </c>
    </row>
    <row r="2" spans="2:5" x14ac:dyDescent="0.15">
      <c r="B2" s="19" t="s">
        <v>130</v>
      </c>
      <c r="C2" s="4">
        <v>0.35</v>
      </c>
      <c r="D2" s="20" t="s">
        <v>46</v>
      </c>
      <c r="E2" s="21" t="s">
        <v>149</v>
      </c>
    </row>
    <row r="3" spans="2:5" x14ac:dyDescent="0.15">
      <c r="B3" s="19" t="s">
        <v>131</v>
      </c>
      <c r="C3" s="4">
        <v>0.4</v>
      </c>
      <c r="D3" s="20" t="s">
        <v>46</v>
      </c>
      <c r="E3" s="21" t="s">
        <v>150</v>
      </c>
    </row>
    <row r="4" spans="2:5" ht="27" x14ac:dyDescent="0.15">
      <c r="B4" s="19" t="s">
        <v>132</v>
      </c>
      <c r="C4" s="4">
        <v>0.2</v>
      </c>
      <c r="D4" s="20" t="s">
        <v>46</v>
      </c>
      <c r="E4" s="21" t="s">
        <v>151</v>
      </c>
    </row>
    <row r="5" spans="2:5" x14ac:dyDescent="0.15">
      <c r="B5" s="19" t="s">
        <v>133</v>
      </c>
      <c r="C5" s="4">
        <v>0.2</v>
      </c>
      <c r="D5" s="20" t="s">
        <v>46</v>
      </c>
      <c r="E5" s="21" t="s">
        <v>152</v>
      </c>
    </row>
    <row r="6" spans="2:5" ht="27" x14ac:dyDescent="0.15">
      <c r="B6" s="19" t="s">
        <v>157</v>
      </c>
      <c r="C6" s="107" t="s">
        <v>372</v>
      </c>
      <c r="D6" s="8" t="s">
        <v>155</v>
      </c>
      <c r="E6" s="21" t="s">
        <v>154</v>
      </c>
    </row>
    <row r="7" spans="2:5" x14ac:dyDescent="0.15">
      <c r="B7" s="19"/>
      <c r="C7" s="4"/>
    </row>
    <row r="8" spans="2:5" x14ac:dyDescent="0.15">
      <c r="B8" s="19"/>
      <c r="C8" s="4"/>
    </row>
    <row r="9" spans="2:5" x14ac:dyDescent="0.15">
      <c r="B9" s="19"/>
      <c r="C9" s="4"/>
    </row>
    <row r="10" spans="2:5" x14ac:dyDescent="0.15">
      <c r="B10" s="19"/>
      <c r="C10" s="4"/>
    </row>
    <row r="11" spans="2:5" x14ac:dyDescent="0.15">
      <c r="B11" s="6"/>
    </row>
    <row r="12" spans="2:5" x14ac:dyDescent="0.15">
      <c r="B12" s="6"/>
    </row>
  </sheetData>
  <phoneticPr fontId="1"/>
  <dataValidations count="1">
    <dataValidation type="list" allowBlank="1" showInputMessage="1" showErrorMessage="1" sqref="C6" xr:uid="{28C70387-0EF3-4F4B-A020-9EE0E5FB96A7}">
      <formula1>"'True,'False"</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3684-B813-42F8-96E1-C9C42121D58E}">
  <dimension ref="C1:F12"/>
  <sheetViews>
    <sheetView zoomScaleNormal="100" workbookViewId="0">
      <selection activeCell="F5" sqref="F5"/>
    </sheetView>
  </sheetViews>
  <sheetFormatPr defaultRowHeight="13.5" x14ac:dyDescent="0.15"/>
  <cols>
    <col min="3" max="3" width="25.875" bestFit="1" customWidth="1"/>
    <col min="4" max="4" width="15.625" customWidth="1"/>
    <col min="5" max="5" width="10.375" bestFit="1" customWidth="1"/>
    <col min="6" max="6" width="146.75" bestFit="1" customWidth="1"/>
  </cols>
  <sheetData>
    <row r="1" spans="3:6" ht="21" customHeight="1" x14ac:dyDescent="0.15">
      <c r="C1" s="17" t="s">
        <v>14</v>
      </c>
      <c r="D1" s="17" t="s">
        <v>15</v>
      </c>
      <c r="E1" s="2" t="s">
        <v>156</v>
      </c>
      <c r="F1" s="2" t="s">
        <v>148</v>
      </c>
    </row>
    <row r="2" spans="3:6" ht="21" customHeight="1" x14ac:dyDescent="0.15">
      <c r="C2" s="19" t="s">
        <v>173</v>
      </c>
      <c r="D2" s="107" t="s">
        <v>372</v>
      </c>
      <c r="E2" s="20"/>
      <c r="F2" s="21" t="s">
        <v>176</v>
      </c>
    </row>
    <row r="3" spans="3:6" ht="21" customHeight="1" x14ac:dyDescent="0.15">
      <c r="C3" s="19" t="s">
        <v>174</v>
      </c>
      <c r="D3" s="107" t="s">
        <v>372</v>
      </c>
      <c r="E3" s="20"/>
      <c r="F3" s="21" t="s">
        <v>177</v>
      </c>
    </row>
    <row r="4" spans="3:6" ht="21" customHeight="1" x14ac:dyDescent="0.15">
      <c r="C4" s="19" t="s">
        <v>397</v>
      </c>
      <c r="D4" s="4">
        <v>9</v>
      </c>
      <c r="E4" s="20"/>
      <c r="F4" s="21"/>
    </row>
    <row r="5" spans="3:6" ht="21" customHeight="1" x14ac:dyDescent="0.15">
      <c r="C5" s="19" t="s">
        <v>175</v>
      </c>
      <c r="D5" s="4">
        <v>8</v>
      </c>
      <c r="E5" s="20"/>
      <c r="F5" s="21"/>
    </row>
    <row r="6" spans="3:6" ht="21" customHeight="1" x14ac:dyDescent="0.15">
      <c r="C6" s="19" t="s">
        <v>200</v>
      </c>
      <c r="D6" s="4">
        <v>0.25600000000000001</v>
      </c>
      <c r="E6" s="8" t="s">
        <v>46</v>
      </c>
      <c r="F6" s="21" t="s">
        <v>350</v>
      </c>
    </row>
    <row r="7" spans="3:6" ht="21" customHeight="1" x14ac:dyDescent="0.15">
      <c r="C7" s="19"/>
      <c r="D7" s="4"/>
      <c r="E7" s="8"/>
      <c r="F7" s="21"/>
    </row>
    <row r="8" spans="3:6" ht="21" customHeight="1" x14ac:dyDescent="0.15">
      <c r="C8" s="19"/>
      <c r="D8" s="4"/>
      <c r="E8" s="8"/>
      <c r="F8" s="21"/>
    </row>
    <row r="9" spans="3:6" ht="21" customHeight="1" x14ac:dyDescent="0.15">
      <c r="C9" s="19"/>
      <c r="D9" s="4"/>
      <c r="E9" s="8"/>
      <c r="F9" s="21"/>
    </row>
    <row r="10" spans="3:6" ht="21" customHeight="1" x14ac:dyDescent="0.15">
      <c r="C10" s="19"/>
      <c r="D10" s="4"/>
      <c r="E10" s="8"/>
      <c r="F10" s="21"/>
    </row>
    <row r="11" spans="3:6" ht="21" customHeight="1" x14ac:dyDescent="0.15"/>
    <row r="12" spans="3:6" ht="21" customHeight="1" x14ac:dyDescent="0.15"/>
  </sheetData>
  <phoneticPr fontId="1"/>
  <dataValidations count="1">
    <dataValidation type="list" allowBlank="1" showInputMessage="1" showErrorMessage="1" sqref="D2:D3" xr:uid="{4B4723B2-B200-4F86-8D7A-18903132BABE}">
      <formula1>"'True,'False"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F43D-2492-4475-90DA-85A4A870B01A}">
  <sheetPr>
    <tabColor rgb="FF00B050"/>
  </sheetPr>
  <dimension ref="A1:G4"/>
  <sheetViews>
    <sheetView workbookViewId="0">
      <selection activeCell="E2" sqref="E2"/>
    </sheetView>
  </sheetViews>
  <sheetFormatPr defaultRowHeight="13.5" x14ac:dyDescent="0.15"/>
  <cols>
    <col min="1" max="1" width="22.875" customWidth="1"/>
    <col min="2" max="2" width="24" customWidth="1"/>
    <col min="3" max="3" width="19.25" customWidth="1"/>
    <col min="4" max="4" width="151.875" bestFit="1" customWidth="1"/>
    <col min="5" max="5" width="25.375" customWidth="1"/>
  </cols>
  <sheetData>
    <row r="1" spans="1:7" s="3" customFormat="1" x14ac:dyDescent="0.15">
      <c r="A1" s="17" t="s">
        <v>0</v>
      </c>
      <c r="B1" s="17" t="s">
        <v>71</v>
      </c>
      <c r="C1" s="17" t="s">
        <v>72</v>
      </c>
      <c r="D1" s="17" t="s">
        <v>281</v>
      </c>
      <c r="E1" s="17" t="s">
        <v>282</v>
      </c>
      <c r="F1" s="2"/>
      <c r="G1" s="2"/>
    </row>
    <row r="2" spans="1:7" x14ac:dyDescent="0.15">
      <c r="A2" s="9" t="s">
        <v>379</v>
      </c>
      <c r="B2" s="9">
        <v>9</v>
      </c>
      <c r="C2" s="9">
        <v>8</v>
      </c>
      <c r="D2" s="9" t="s">
        <v>381</v>
      </c>
      <c r="E2" s="9"/>
    </row>
    <row r="3" spans="1:7" x14ac:dyDescent="0.15">
      <c r="A3" s="9" t="s">
        <v>382</v>
      </c>
      <c r="B3" s="9">
        <v>8</v>
      </c>
      <c r="C3" s="9">
        <v>8</v>
      </c>
      <c r="D3" s="9" t="s">
        <v>387</v>
      </c>
      <c r="E3" s="9"/>
    </row>
    <row r="4" spans="1:7" x14ac:dyDescent="0.15">
      <c r="A4" s="9" t="s">
        <v>383</v>
      </c>
      <c r="B4" s="9">
        <v>7</v>
      </c>
      <c r="C4" s="9">
        <v>8</v>
      </c>
      <c r="D4" s="9" t="s">
        <v>388</v>
      </c>
      <c r="E4" s="9"/>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7D947-EFD0-48A9-A2C0-101F24AB54D4}">
  <sheetPr>
    <tabColor rgb="FF00B050"/>
  </sheetPr>
  <dimension ref="A1:D13"/>
  <sheetViews>
    <sheetView workbookViewId="0">
      <selection activeCell="D7" sqref="D7"/>
    </sheetView>
  </sheetViews>
  <sheetFormatPr defaultRowHeight="13.5" x14ac:dyDescent="0.15"/>
  <cols>
    <col min="1" max="1" width="22.875" customWidth="1"/>
    <col min="2" max="2" width="24" customWidth="1"/>
  </cols>
  <sheetData>
    <row r="1" spans="1:4" s="3" customFormat="1" x14ac:dyDescent="0.15">
      <c r="A1" s="17" t="s">
        <v>335</v>
      </c>
      <c r="B1" s="17" t="s">
        <v>71</v>
      </c>
      <c r="C1" s="2"/>
      <c r="D1" s="2"/>
    </row>
    <row r="2" spans="1:4" x14ac:dyDescent="0.15">
      <c r="A2" s="9" t="s">
        <v>334</v>
      </c>
      <c r="B2" s="9">
        <v>7</v>
      </c>
    </row>
    <row r="3" spans="1:4" x14ac:dyDescent="0.15">
      <c r="A3" s="9" t="s">
        <v>336</v>
      </c>
      <c r="B3" s="9">
        <v>7</v>
      </c>
    </row>
    <row r="4" spans="1:4" x14ac:dyDescent="0.15">
      <c r="A4" s="9" t="s">
        <v>337</v>
      </c>
      <c r="B4" s="9">
        <v>7</v>
      </c>
    </row>
    <row r="5" spans="1:4" x14ac:dyDescent="0.15">
      <c r="A5" s="9" t="s">
        <v>338</v>
      </c>
      <c r="B5" s="9">
        <v>3</v>
      </c>
    </row>
    <row r="6" spans="1:4" x14ac:dyDescent="0.15">
      <c r="A6" s="9" t="s">
        <v>339</v>
      </c>
      <c r="B6" s="9">
        <v>4</v>
      </c>
    </row>
    <row r="7" spans="1:4" x14ac:dyDescent="0.15">
      <c r="A7" s="9" t="s">
        <v>340</v>
      </c>
      <c r="B7" s="9">
        <v>5</v>
      </c>
    </row>
    <row r="12" spans="1:4" x14ac:dyDescent="0.15">
      <c r="B12" t="s">
        <v>341</v>
      </c>
    </row>
    <row r="13" spans="1:4" x14ac:dyDescent="0.15">
      <c r="B13" t="s">
        <v>342</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95B6-0B29-47A7-BD44-23410D1EE687}">
  <sheetPr>
    <tabColor rgb="FF0070C0"/>
  </sheetPr>
  <dimension ref="A1:AD27"/>
  <sheetViews>
    <sheetView zoomScaleNormal="100" workbookViewId="0">
      <selection activeCell="F23" sqref="F23"/>
    </sheetView>
  </sheetViews>
  <sheetFormatPr defaultRowHeight="13.5" x14ac:dyDescent="0.15"/>
  <cols>
    <col min="1" max="5" width="22.375" customWidth="1"/>
    <col min="6" max="9" width="19.25" customWidth="1"/>
    <col min="10" max="11" width="22.375" customWidth="1"/>
    <col min="12" max="12" width="22.375" style="109" customWidth="1"/>
    <col min="13" max="13" width="34.875" bestFit="1" customWidth="1"/>
    <col min="14" max="14" width="19.875" bestFit="1" customWidth="1"/>
    <col min="15" max="15" width="9.75" bestFit="1" customWidth="1"/>
    <col min="16" max="16" width="23.75" bestFit="1" customWidth="1"/>
    <col min="17" max="17" width="26.625" bestFit="1" customWidth="1"/>
    <col min="18" max="18" width="25.625" bestFit="1" customWidth="1"/>
    <col min="19" max="19" width="20.25" bestFit="1" customWidth="1"/>
    <col min="20" max="20" width="13.875" bestFit="1" customWidth="1"/>
    <col min="21" max="21" width="24.625" bestFit="1" customWidth="1"/>
    <col min="22" max="22" width="27.125" customWidth="1"/>
    <col min="23" max="23" width="9" bestFit="1" customWidth="1"/>
    <col min="24" max="24" width="18.125" bestFit="1" customWidth="1"/>
    <col min="25" max="25" width="25.375" bestFit="1" customWidth="1"/>
    <col min="26" max="26" width="25.25" bestFit="1" customWidth="1"/>
    <col min="27" max="27" width="15.875" bestFit="1" customWidth="1"/>
    <col min="28" max="28" width="13.875" bestFit="1" customWidth="1"/>
    <col min="29" max="29" width="24.625" bestFit="1" customWidth="1"/>
    <col min="30" max="30" width="27.125" customWidth="1"/>
  </cols>
  <sheetData>
    <row r="1" spans="1:30" x14ac:dyDescent="0.15">
      <c r="L1"/>
      <c r="M1" s="1" t="s">
        <v>199</v>
      </c>
    </row>
    <row r="2" spans="1:30" s="3" customFormat="1" ht="54" x14ac:dyDescent="0.15">
      <c r="A2" s="17" t="s">
        <v>0</v>
      </c>
      <c r="B2" s="17" t="s">
        <v>357</v>
      </c>
      <c r="C2" s="17" t="s">
        <v>281</v>
      </c>
      <c r="D2" s="17" t="s">
        <v>282</v>
      </c>
      <c r="E2" s="17" t="s">
        <v>355</v>
      </c>
      <c r="F2" s="17" t="s">
        <v>201</v>
      </c>
      <c r="G2" s="17" t="s">
        <v>202</v>
      </c>
      <c r="H2" s="17" t="s">
        <v>407</v>
      </c>
      <c r="I2" s="17" t="s">
        <v>203</v>
      </c>
      <c r="J2" s="17" t="s">
        <v>354</v>
      </c>
      <c r="K2" s="17" t="s">
        <v>352</v>
      </c>
      <c r="L2" s="17" t="s">
        <v>353</v>
      </c>
      <c r="M2" s="17" t="s">
        <v>358</v>
      </c>
      <c r="N2" s="17" t="s">
        <v>365</v>
      </c>
      <c r="O2" s="17" t="s">
        <v>364</v>
      </c>
      <c r="P2" s="17" t="s">
        <v>183</v>
      </c>
      <c r="Q2" s="17" t="s">
        <v>184</v>
      </c>
      <c r="R2" s="17" t="s">
        <v>185</v>
      </c>
      <c r="S2" s="17" t="s">
        <v>186</v>
      </c>
      <c r="T2" s="17" t="s">
        <v>187</v>
      </c>
      <c r="U2" s="17" t="s">
        <v>188</v>
      </c>
      <c r="V2" s="17" t="s">
        <v>363</v>
      </c>
      <c r="W2" s="17" t="s">
        <v>362</v>
      </c>
      <c r="X2" s="17" t="s">
        <v>361</v>
      </c>
      <c r="Y2" s="17" t="s">
        <v>360</v>
      </c>
      <c r="Z2" s="17" t="s">
        <v>359</v>
      </c>
      <c r="AA2" s="17" t="s">
        <v>206</v>
      </c>
      <c r="AB2" s="17" t="s">
        <v>189</v>
      </c>
      <c r="AC2" s="17" t="s">
        <v>190</v>
      </c>
      <c r="AD2" s="17" t="s">
        <v>191</v>
      </c>
    </row>
    <row r="3" spans="1:30" x14ac:dyDescent="0.15">
      <c r="A3" s="9" t="s">
        <v>356</v>
      </c>
      <c r="B3" s="107" t="s">
        <v>373</v>
      </c>
      <c r="C3" s="9" t="s">
        <v>386</v>
      </c>
      <c r="D3" s="9"/>
      <c r="E3" s="107" t="s">
        <v>389</v>
      </c>
      <c r="F3" s="9">
        <v>0.8</v>
      </c>
      <c r="G3" s="9">
        <v>348</v>
      </c>
      <c r="H3" s="9" t="s">
        <v>333</v>
      </c>
      <c r="I3" s="107" t="s">
        <v>373</v>
      </c>
      <c r="J3" s="107" t="s">
        <v>372</v>
      </c>
      <c r="K3" s="9">
        <v>4</v>
      </c>
      <c r="L3" s="108">
        <v>2</v>
      </c>
      <c r="M3" s="107" t="s">
        <v>373</v>
      </c>
      <c r="N3" s="107" t="s">
        <v>372</v>
      </c>
      <c r="O3" s="107" t="s">
        <v>372</v>
      </c>
      <c r="P3" s="107" t="s">
        <v>372</v>
      </c>
      <c r="Q3" s="107" t="s">
        <v>372</v>
      </c>
      <c r="R3" s="107" t="s">
        <v>373</v>
      </c>
      <c r="S3" s="107" t="s">
        <v>372</v>
      </c>
      <c r="T3" s="107" t="s">
        <v>372</v>
      </c>
      <c r="U3" s="107" t="s">
        <v>372</v>
      </c>
      <c r="V3" s="107" t="s">
        <v>372</v>
      </c>
      <c r="W3" s="107" t="s">
        <v>372</v>
      </c>
      <c r="X3" s="107" t="s">
        <v>372</v>
      </c>
      <c r="Y3" s="107" t="s">
        <v>372</v>
      </c>
      <c r="Z3" s="107" t="s">
        <v>372</v>
      </c>
      <c r="AA3" s="107" t="s">
        <v>372</v>
      </c>
      <c r="AB3" s="107" t="s">
        <v>372</v>
      </c>
      <c r="AC3" s="107" t="s">
        <v>372</v>
      </c>
      <c r="AD3" s="107" t="s">
        <v>372</v>
      </c>
    </row>
    <row r="4" spans="1:30" x14ac:dyDescent="0.15">
      <c r="A4" s="9"/>
      <c r="B4" s="9"/>
      <c r="C4" s="9"/>
      <c r="D4" s="9"/>
      <c r="E4" s="9"/>
      <c r="F4" s="9"/>
      <c r="G4" s="9"/>
      <c r="H4" s="9"/>
      <c r="I4" s="9"/>
      <c r="J4" s="9"/>
      <c r="K4" s="9"/>
      <c r="L4" s="108"/>
      <c r="M4" s="9"/>
      <c r="N4" s="9"/>
      <c r="O4" s="9"/>
      <c r="P4" s="9"/>
      <c r="Q4" s="9"/>
      <c r="R4" s="9"/>
      <c r="S4" s="9"/>
      <c r="T4" s="9"/>
      <c r="U4" s="9"/>
      <c r="V4" s="9"/>
      <c r="W4" s="9"/>
      <c r="X4" s="9"/>
      <c r="Y4" s="9"/>
      <c r="Z4" s="9"/>
      <c r="AA4" s="9"/>
      <c r="AB4" s="9"/>
      <c r="AC4" s="9"/>
      <c r="AD4" s="9"/>
    </row>
    <row r="12" spans="1:30" x14ac:dyDescent="0.15">
      <c r="M12" s="20"/>
    </row>
    <row r="13" spans="1:30" x14ac:dyDescent="0.15">
      <c r="M13" s="20"/>
    </row>
    <row r="14" spans="1:30" x14ac:dyDescent="0.15">
      <c r="F14" s="106"/>
      <c r="M14" s="20"/>
    </row>
    <row r="15" spans="1:30" x14ac:dyDescent="0.15">
      <c r="M15" s="20"/>
    </row>
    <row r="16" spans="1:30" x14ac:dyDescent="0.15">
      <c r="M16" s="20"/>
      <c r="P16" s="20"/>
    </row>
    <row r="17" spans="13:16" x14ac:dyDescent="0.15">
      <c r="M17" s="20"/>
      <c r="P17" s="20"/>
    </row>
    <row r="18" spans="13:16" x14ac:dyDescent="0.15">
      <c r="M18" s="20"/>
    </row>
    <row r="19" spans="13:16" x14ac:dyDescent="0.15">
      <c r="M19" s="20"/>
    </row>
    <row r="20" spans="13:16" x14ac:dyDescent="0.15">
      <c r="M20" s="20"/>
    </row>
    <row r="21" spans="13:16" x14ac:dyDescent="0.15">
      <c r="M21" s="20"/>
    </row>
    <row r="22" spans="13:16" x14ac:dyDescent="0.15">
      <c r="M22" s="20"/>
    </row>
    <row r="23" spans="13:16" x14ac:dyDescent="0.15">
      <c r="M23" s="20"/>
    </row>
    <row r="24" spans="13:16" x14ac:dyDescent="0.15">
      <c r="M24" s="20"/>
    </row>
    <row r="25" spans="13:16" x14ac:dyDescent="0.15">
      <c r="M25" s="20"/>
    </row>
    <row r="26" spans="13:16" x14ac:dyDescent="0.15">
      <c r="M26" s="20"/>
    </row>
    <row r="27" spans="13:16" x14ac:dyDescent="0.15">
      <c r="M27" s="20"/>
    </row>
  </sheetData>
  <phoneticPr fontId="1"/>
  <dataValidations count="5">
    <dataValidation type="list" allowBlank="1" showInputMessage="1" showErrorMessage="1" sqref="H4" xr:uid="{C660B422-580B-4AE3-9C80-E0B44B204F0E}">
      <formula1>"ensight,h3d"</formula1>
    </dataValidation>
    <dataValidation type="list" allowBlank="1" showInputMessage="1" showErrorMessage="1" sqref="I4:J4 M4:AD4" xr:uid="{A1D86C6F-A5A2-4E2C-8BF1-D35A313D4332}">
      <formula1>"True,False"</formula1>
    </dataValidation>
    <dataValidation type="list" allowBlank="1" showInputMessage="1" showErrorMessage="1" sqref="L3:L4" xr:uid="{CD32A405-730F-4336-A64F-F1AC7E08A91D}">
      <formula1>"1,2"</formula1>
    </dataValidation>
    <dataValidation type="list" allowBlank="1" showInputMessage="1" showErrorMessage="1" sqref="B3 I3:J3 M3:AD3" xr:uid="{4C676DCC-6AB7-436F-BB47-428137FACA07}">
      <formula1>"'True,'False"</formula1>
    </dataValidation>
    <dataValidation type="list" allowBlank="1" showInputMessage="1" showErrorMessage="1" sqref="H3" xr:uid="{ABF7B609-65E4-4244-B509-A4C32286CB67}">
      <formula1>"ensight,h3d,ensight_and_h3d"</formula1>
    </dataValidation>
  </dataValidations>
  <pageMargins left="0.7" right="0.7" top="0.75" bottom="0.75" header="0.3" footer="0.3"/>
  <pageSetup paperSize="9" orientation="portrait" verticalDpi="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29184-9D52-4844-ACB5-CF40D30DA4E1}">
  <sheetPr>
    <tabColor rgb="FF0070C0"/>
  </sheetPr>
  <dimension ref="A1:X27"/>
  <sheetViews>
    <sheetView zoomScale="85" zoomScaleNormal="85" workbookViewId="0">
      <selection activeCell="E3" sqref="E3"/>
    </sheetView>
  </sheetViews>
  <sheetFormatPr defaultRowHeight="13.5" x14ac:dyDescent="0.15"/>
  <cols>
    <col min="1" max="1" width="22.375" customWidth="1"/>
    <col min="2" max="2" width="28.5" bestFit="1" customWidth="1"/>
    <col min="3" max="8" width="19.25" customWidth="1"/>
    <col min="9" max="9" width="34.875" bestFit="1" customWidth="1"/>
    <col min="10" max="10" width="19.875" bestFit="1" customWidth="1"/>
    <col min="11" max="11" width="9.75" bestFit="1" customWidth="1"/>
    <col min="12" max="12" width="23.75" bestFit="1" customWidth="1"/>
    <col min="13" max="13" width="26.625" bestFit="1" customWidth="1"/>
    <col min="14" max="14" width="25.625" bestFit="1" customWidth="1"/>
    <col min="15" max="15" width="20.25" bestFit="1" customWidth="1"/>
    <col min="16" max="16" width="13.875" bestFit="1" customWidth="1"/>
    <col min="17" max="17" width="24.625" bestFit="1" customWidth="1"/>
    <col min="18" max="18" width="27.125" customWidth="1"/>
    <col min="19" max="19" width="9" bestFit="1" customWidth="1"/>
    <col min="20" max="20" width="18.125" bestFit="1" customWidth="1"/>
    <col min="21" max="21" width="25.375" bestFit="1" customWidth="1"/>
    <col min="22" max="22" width="25.25" bestFit="1" customWidth="1"/>
    <col min="23" max="23" width="15.875" bestFit="1" customWidth="1"/>
    <col min="24" max="24" width="11.625" bestFit="1" customWidth="1"/>
  </cols>
  <sheetData>
    <row r="1" spans="1:24" x14ac:dyDescent="0.15">
      <c r="I1" s="1" t="s">
        <v>199</v>
      </c>
    </row>
    <row r="2" spans="1:24" s="3" customFormat="1" ht="27" x14ac:dyDescent="0.15">
      <c r="A2" s="17" t="s">
        <v>0</v>
      </c>
      <c r="B2" s="17" t="s">
        <v>281</v>
      </c>
      <c r="C2" s="17" t="s">
        <v>282</v>
      </c>
      <c r="D2" s="17" t="s">
        <v>201</v>
      </c>
      <c r="E2" s="17" t="s">
        <v>202</v>
      </c>
      <c r="F2" s="17" t="s">
        <v>407</v>
      </c>
      <c r="G2" s="17" t="s">
        <v>203</v>
      </c>
      <c r="H2" s="17" t="s">
        <v>409</v>
      </c>
      <c r="I2" s="19" t="s">
        <v>180</v>
      </c>
      <c r="J2" s="19" t="s">
        <v>181</v>
      </c>
      <c r="K2" s="19" t="s">
        <v>182</v>
      </c>
      <c r="L2" s="19" t="s">
        <v>183</v>
      </c>
      <c r="M2" s="19" t="s">
        <v>184</v>
      </c>
      <c r="N2" s="19" t="s">
        <v>187</v>
      </c>
      <c r="O2" s="19" t="s">
        <v>188</v>
      </c>
      <c r="P2" s="19" t="s">
        <v>189</v>
      </c>
      <c r="Q2" s="19" t="s">
        <v>190</v>
      </c>
      <c r="R2" s="19" t="s">
        <v>191</v>
      </c>
      <c r="S2" s="19" t="s">
        <v>192</v>
      </c>
      <c r="T2" s="19" t="s">
        <v>193</v>
      </c>
      <c r="U2" s="19" t="s">
        <v>194</v>
      </c>
      <c r="V2" s="19" t="s">
        <v>195</v>
      </c>
      <c r="W2" s="19" t="s">
        <v>196</v>
      </c>
      <c r="X2" s="19" t="s">
        <v>198</v>
      </c>
    </row>
    <row r="3" spans="1:24" x14ac:dyDescent="0.15">
      <c r="A3" s="9" t="s">
        <v>374</v>
      </c>
      <c r="B3" s="9"/>
      <c r="C3" s="9" t="s">
        <v>291</v>
      </c>
      <c r="D3" s="9">
        <v>0.8</v>
      </c>
      <c r="E3" s="9">
        <v>3870</v>
      </c>
      <c r="F3" s="9" t="s">
        <v>408</v>
      </c>
      <c r="G3" s="107" t="s">
        <v>372</v>
      </c>
      <c r="H3" s="107" t="s">
        <v>410</v>
      </c>
      <c r="I3" s="107" t="s">
        <v>372</v>
      </c>
      <c r="J3" s="107" t="s">
        <v>372</v>
      </c>
      <c r="K3" s="107" t="s">
        <v>372</v>
      </c>
      <c r="L3" s="107" t="s">
        <v>373</v>
      </c>
      <c r="M3" s="107" t="s">
        <v>372</v>
      </c>
      <c r="N3" s="107" t="s">
        <v>372</v>
      </c>
      <c r="O3" s="107" t="s">
        <v>372</v>
      </c>
      <c r="P3" s="107" t="s">
        <v>372</v>
      </c>
      <c r="Q3" s="107" t="s">
        <v>372</v>
      </c>
      <c r="R3" s="107" t="s">
        <v>372</v>
      </c>
      <c r="S3" s="107" t="s">
        <v>372</v>
      </c>
      <c r="T3" s="107" t="s">
        <v>372</v>
      </c>
      <c r="U3" s="107" t="s">
        <v>372</v>
      </c>
      <c r="V3" s="107" t="s">
        <v>373</v>
      </c>
      <c r="W3" s="107" t="s">
        <v>373</v>
      </c>
      <c r="X3" s="107" t="s">
        <v>372</v>
      </c>
    </row>
    <row r="4" spans="1:24" x14ac:dyDescent="0.15">
      <c r="A4" s="9" t="s">
        <v>280</v>
      </c>
      <c r="B4" s="9" t="s">
        <v>380</v>
      </c>
      <c r="C4" s="9" t="s">
        <v>291</v>
      </c>
      <c r="D4" s="9">
        <v>0.3</v>
      </c>
      <c r="E4" s="9">
        <v>3.125E-2</v>
      </c>
      <c r="F4" s="9" t="s">
        <v>408</v>
      </c>
      <c r="G4" s="107" t="s">
        <v>373</v>
      </c>
      <c r="H4" s="107" t="s">
        <v>410</v>
      </c>
      <c r="I4" s="107" t="s">
        <v>373</v>
      </c>
      <c r="J4" s="107" t="s">
        <v>372</v>
      </c>
      <c r="K4" s="107" t="s">
        <v>372</v>
      </c>
      <c r="L4" s="107" t="s">
        <v>372</v>
      </c>
      <c r="M4" s="107" t="s">
        <v>372</v>
      </c>
      <c r="N4" s="107" t="s">
        <v>372</v>
      </c>
      <c r="O4" s="107" t="s">
        <v>372</v>
      </c>
      <c r="P4" s="107" t="s">
        <v>372</v>
      </c>
      <c r="Q4" s="107" t="s">
        <v>372</v>
      </c>
      <c r="R4" s="107" t="s">
        <v>372</v>
      </c>
      <c r="S4" s="107" t="s">
        <v>372</v>
      </c>
      <c r="T4" s="107" t="s">
        <v>372</v>
      </c>
      <c r="U4" s="107" t="s">
        <v>372</v>
      </c>
      <c r="V4" s="107" t="s">
        <v>372</v>
      </c>
      <c r="W4" s="107" t="s">
        <v>372</v>
      </c>
      <c r="X4" s="107" t="s">
        <v>372</v>
      </c>
    </row>
    <row r="12" spans="1:24" x14ac:dyDescent="0.15">
      <c r="I12" s="20"/>
    </row>
    <row r="13" spans="1:24" x14ac:dyDescent="0.15">
      <c r="I13" s="20"/>
    </row>
    <row r="14" spans="1:24" x14ac:dyDescent="0.15">
      <c r="I14" s="20"/>
    </row>
    <row r="15" spans="1:24" x14ac:dyDescent="0.15">
      <c r="I15" s="20"/>
    </row>
    <row r="16" spans="1:24" x14ac:dyDescent="0.15">
      <c r="I16" s="20"/>
      <c r="L16" s="20"/>
    </row>
    <row r="17" spans="9:12" x14ac:dyDescent="0.15">
      <c r="I17" s="20"/>
      <c r="L17" s="20"/>
    </row>
    <row r="18" spans="9:12" x14ac:dyDescent="0.15">
      <c r="I18" s="20"/>
    </row>
    <row r="19" spans="9:12" x14ac:dyDescent="0.15">
      <c r="I19" s="20"/>
    </row>
    <row r="20" spans="9:12" x14ac:dyDescent="0.15">
      <c r="I20" s="20"/>
    </row>
    <row r="21" spans="9:12" x14ac:dyDescent="0.15">
      <c r="I21" s="20"/>
    </row>
    <row r="22" spans="9:12" x14ac:dyDescent="0.15">
      <c r="I22" s="20"/>
    </row>
    <row r="23" spans="9:12" x14ac:dyDescent="0.15">
      <c r="I23" s="20"/>
    </row>
    <row r="24" spans="9:12" x14ac:dyDescent="0.15">
      <c r="I24" s="20"/>
    </row>
    <row r="25" spans="9:12" x14ac:dyDescent="0.15">
      <c r="I25" s="20"/>
    </row>
    <row r="26" spans="9:12" x14ac:dyDescent="0.15">
      <c r="I26" s="20"/>
    </row>
    <row r="27" spans="9:12" x14ac:dyDescent="0.15">
      <c r="I27" s="20"/>
    </row>
  </sheetData>
  <phoneticPr fontId="1"/>
  <dataValidations count="3">
    <dataValidation type="list" allowBlank="1" showInputMessage="1" showErrorMessage="1" sqref="G3:G4 I3:X4" xr:uid="{6C1A8BB3-2D11-45DF-855E-7818AB30F673}">
      <formula1>"'True,'False"</formula1>
    </dataValidation>
    <dataValidation type="list" allowBlank="1" showInputMessage="1" showErrorMessage="1" sqref="F3:F4" xr:uid="{653D1D83-8A7F-4919-A5C7-3FC10A3F8727}">
      <formula1>"ensight,h3d,ensight_and_h3d"</formula1>
    </dataValidation>
    <dataValidation type="list" allowBlank="1" showInputMessage="1" showErrorMessage="1" sqref="H3:H4" xr:uid="{297A6B4D-A453-4416-B0F0-394778DEBA70}">
      <formula1>"all,baffle_front_only,baffle_back_only"</formula1>
    </dataValidation>
  </dataValidations>
  <pageMargins left="0.7" right="0.7" top="0.75" bottom="0.75" header="0.3" footer="0.3"/>
  <pageSetup paperSize="9" orientation="portrait" verticalDpi="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4C0BB-F0B0-464F-9274-2E5D830EF456}">
  <sheetPr>
    <tabColor rgb="FF0070C0"/>
  </sheetPr>
  <dimension ref="A1:AN27"/>
  <sheetViews>
    <sheetView zoomScale="70" zoomScaleNormal="70" workbookViewId="0">
      <selection activeCell="G18" sqref="G18"/>
    </sheetView>
  </sheetViews>
  <sheetFormatPr defaultRowHeight="13.5" x14ac:dyDescent="0.15"/>
  <cols>
    <col min="1" max="1" width="22.375" customWidth="1"/>
    <col min="2" max="2" width="24" customWidth="1"/>
    <col min="3" max="9" width="19.25" customWidth="1"/>
    <col min="10" max="10" width="34.875" bestFit="1" customWidth="1"/>
    <col min="11" max="11" width="19.875" bestFit="1" customWidth="1"/>
    <col min="12" max="12" width="9.75" bestFit="1" customWidth="1"/>
    <col min="13" max="13" width="23.75" bestFit="1" customWidth="1"/>
    <col min="14" max="14" width="26.625" bestFit="1" customWidth="1"/>
    <col min="15" max="15" width="25.625" bestFit="1" customWidth="1"/>
    <col min="16" max="16" width="20.25" bestFit="1" customWidth="1"/>
    <col min="17" max="17" width="13.875" bestFit="1" customWidth="1"/>
    <col min="18" max="18" width="24.625" bestFit="1" customWidth="1"/>
    <col min="19" max="19" width="27.125" customWidth="1"/>
    <col min="20" max="20" width="9" bestFit="1" customWidth="1"/>
    <col min="21" max="21" width="18.125" bestFit="1" customWidth="1"/>
    <col min="22" max="22" width="25.375" bestFit="1" customWidth="1"/>
    <col min="23" max="23" width="25.25" bestFit="1" customWidth="1"/>
    <col min="24" max="24" width="15.875" bestFit="1" customWidth="1"/>
    <col min="25" max="25" width="13.875" bestFit="1" customWidth="1"/>
    <col min="26" max="26" width="24.625" bestFit="1" customWidth="1"/>
    <col min="27" max="40" width="26.125" customWidth="1"/>
  </cols>
  <sheetData>
    <row r="1" spans="1:40" x14ac:dyDescent="0.15">
      <c r="D1" s="1" t="s">
        <v>293</v>
      </c>
      <c r="H1" s="1" t="s">
        <v>294</v>
      </c>
      <c r="J1" s="1" t="s">
        <v>292</v>
      </c>
      <c r="AA1" s="1" t="s">
        <v>300</v>
      </c>
    </row>
    <row r="2" spans="1:40" s="3" customFormat="1" ht="81" x14ac:dyDescent="0.15">
      <c r="A2" s="17" t="s">
        <v>0</v>
      </c>
      <c r="B2" s="17" t="s">
        <v>281</v>
      </c>
      <c r="C2" s="17" t="s">
        <v>282</v>
      </c>
      <c r="D2" s="17" t="s">
        <v>295</v>
      </c>
      <c r="E2" s="17" t="s">
        <v>296</v>
      </c>
      <c r="F2" s="17" t="s">
        <v>297</v>
      </c>
      <c r="G2" s="17" t="s">
        <v>332</v>
      </c>
      <c r="H2" s="17" t="s">
        <v>298</v>
      </c>
      <c r="I2" s="17" t="s">
        <v>299</v>
      </c>
      <c r="J2" s="17" t="s">
        <v>301</v>
      </c>
      <c r="K2" s="17" t="s">
        <v>303</v>
      </c>
      <c r="L2" s="17" t="s">
        <v>304</v>
      </c>
      <c r="M2" s="17" t="s">
        <v>305</v>
      </c>
      <c r="N2" s="17" t="s">
        <v>306</v>
      </c>
      <c r="O2" s="17" t="s">
        <v>307</v>
      </c>
      <c r="P2" s="17" t="s">
        <v>308</v>
      </c>
      <c r="Q2" s="17" t="s">
        <v>309</v>
      </c>
      <c r="R2" s="17" t="s">
        <v>310</v>
      </c>
      <c r="S2" s="17" t="s">
        <v>311</v>
      </c>
      <c r="T2" s="17" t="s">
        <v>312</v>
      </c>
      <c r="U2" s="17" t="s">
        <v>313</v>
      </c>
      <c r="V2" s="17" t="s">
        <v>314</v>
      </c>
      <c r="W2" s="17" t="s">
        <v>315</v>
      </c>
      <c r="X2" s="17" t="s">
        <v>316</v>
      </c>
      <c r="Y2" s="17" t="s">
        <v>317</v>
      </c>
      <c r="Z2" s="17" t="s">
        <v>318</v>
      </c>
      <c r="AA2" s="17" t="s">
        <v>302</v>
      </c>
      <c r="AB2" s="17" t="s">
        <v>319</v>
      </c>
      <c r="AC2" s="17" t="s">
        <v>320</v>
      </c>
      <c r="AD2" s="17" t="s">
        <v>321</v>
      </c>
      <c r="AE2" s="17" t="s">
        <v>322</v>
      </c>
      <c r="AF2" s="17" t="s">
        <v>323</v>
      </c>
      <c r="AG2" s="17" t="s">
        <v>324</v>
      </c>
      <c r="AH2" s="17" t="s">
        <v>325</v>
      </c>
      <c r="AI2" s="17" t="s">
        <v>326</v>
      </c>
      <c r="AJ2" s="17" t="s">
        <v>327</v>
      </c>
      <c r="AK2" s="17" t="s">
        <v>328</v>
      </c>
      <c r="AL2" s="17" t="s">
        <v>329</v>
      </c>
      <c r="AM2" s="17" t="s">
        <v>330</v>
      </c>
      <c r="AN2" s="17" t="s">
        <v>331</v>
      </c>
    </row>
    <row r="3" spans="1:40" x14ac:dyDescent="0.15">
      <c r="A3" s="9"/>
      <c r="B3" s="9"/>
      <c r="C3" s="9"/>
      <c r="D3" s="9">
        <v>1.5</v>
      </c>
      <c r="E3" s="9">
        <v>6000</v>
      </c>
      <c r="F3" s="9" t="s">
        <v>333</v>
      </c>
      <c r="G3" s="107" t="s">
        <v>372</v>
      </c>
      <c r="H3" s="9">
        <v>0</v>
      </c>
      <c r="I3" s="9">
        <v>3.125E-2</v>
      </c>
      <c r="J3" s="107" t="s">
        <v>372</v>
      </c>
      <c r="K3" s="107" t="s">
        <v>372</v>
      </c>
      <c r="L3" s="107" t="s">
        <v>372</v>
      </c>
      <c r="M3" s="107" t="s">
        <v>373</v>
      </c>
      <c r="N3" s="107" t="s">
        <v>372</v>
      </c>
      <c r="O3" s="107" t="s">
        <v>372</v>
      </c>
      <c r="P3" s="107" t="s">
        <v>372</v>
      </c>
      <c r="Q3" s="107" t="s">
        <v>372</v>
      </c>
      <c r="R3" s="107" t="s">
        <v>372</v>
      </c>
      <c r="S3" s="107" t="s">
        <v>372</v>
      </c>
      <c r="T3" s="107" t="s">
        <v>372</v>
      </c>
      <c r="U3" s="107" t="s">
        <v>372</v>
      </c>
      <c r="V3" s="107" t="s">
        <v>372</v>
      </c>
      <c r="W3" s="107" t="s">
        <v>372</v>
      </c>
      <c r="X3" s="107" t="s">
        <v>372</v>
      </c>
      <c r="Y3" s="107" t="s">
        <v>372</v>
      </c>
      <c r="Z3" s="107" t="s">
        <v>372</v>
      </c>
      <c r="AA3" s="107" t="s">
        <v>372</v>
      </c>
      <c r="AB3" s="107" t="s">
        <v>372</v>
      </c>
      <c r="AC3" s="107" t="s">
        <v>372</v>
      </c>
      <c r="AD3" s="107" t="s">
        <v>373</v>
      </c>
      <c r="AE3" s="107" t="s">
        <v>372</v>
      </c>
      <c r="AF3" s="107" t="s">
        <v>373</v>
      </c>
      <c r="AG3" s="107" t="s">
        <v>373</v>
      </c>
      <c r="AH3" s="107" t="s">
        <v>372</v>
      </c>
      <c r="AI3" s="107" t="s">
        <v>372</v>
      </c>
      <c r="AJ3" s="107" t="s">
        <v>372</v>
      </c>
      <c r="AK3" s="107" t="s">
        <v>372</v>
      </c>
      <c r="AL3" s="107" t="s">
        <v>372</v>
      </c>
      <c r="AM3" s="107" t="s">
        <v>372</v>
      </c>
      <c r="AN3" s="107" t="s">
        <v>372</v>
      </c>
    </row>
    <row r="4" spans="1:40" x14ac:dyDescent="0.1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row>
    <row r="9" spans="1:40" x14ac:dyDescent="0.15">
      <c r="J9" s="106"/>
    </row>
    <row r="12" spans="1:40" x14ac:dyDescent="0.15">
      <c r="J12" s="20"/>
    </row>
    <row r="13" spans="1:40" x14ac:dyDescent="0.15">
      <c r="J13" s="20"/>
    </row>
    <row r="14" spans="1:40" x14ac:dyDescent="0.15">
      <c r="J14" s="20"/>
    </row>
    <row r="15" spans="1:40" x14ac:dyDescent="0.15">
      <c r="J15" s="20"/>
    </row>
    <row r="16" spans="1:40" x14ac:dyDescent="0.15">
      <c r="J16" s="20"/>
      <c r="M16" s="20"/>
    </row>
    <row r="17" spans="10:13" x14ac:dyDescent="0.15">
      <c r="J17" s="20"/>
      <c r="M17" s="20"/>
    </row>
    <row r="18" spans="10:13" x14ac:dyDescent="0.15">
      <c r="J18" s="20"/>
    </row>
    <row r="19" spans="10:13" x14ac:dyDescent="0.15">
      <c r="J19" s="20"/>
    </row>
    <row r="20" spans="10:13" x14ac:dyDescent="0.15">
      <c r="J20" s="20"/>
    </row>
    <row r="21" spans="10:13" x14ac:dyDescent="0.15">
      <c r="J21" s="20"/>
    </row>
    <row r="22" spans="10:13" x14ac:dyDescent="0.15">
      <c r="J22" s="20"/>
    </row>
    <row r="23" spans="10:13" x14ac:dyDescent="0.15">
      <c r="J23" s="20"/>
    </row>
    <row r="24" spans="10:13" x14ac:dyDescent="0.15">
      <c r="J24" s="20"/>
    </row>
    <row r="25" spans="10:13" x14ac:dyDescent="0.15">
      <c r="J25" s="20"/>
    </row>
    <row r="26" spans="10:13" x14ac:dyDescent="0.15">
      <c r="J26" s="20"/>
    </row>
    <row r="27" spans="10:13" x14ac:dyDescent="0.15">
      <c r="J27" s="20"/>
    </row>
  </sheetData>
  <phoneticPr fontId="1"/>
  <dataValidations count="2">
    <dataValidation type="list" allowBlank="1" showInputMessage="1" showErrorMessage="1" sqref="G3 J3:AN3" xr:uid="{F5FB7C6A-6376-45ED-909F-1E63F51F9E27}">
      <formula1>"'True,'False"</formula1>
    </dataValidation>
    <dataValidation type="list" allowBlank="1" showInputMessage="1" showErrorMessage="1" sqref="F3" xr:uid="{2A6BD7A8-A55E-4B8C-AD06-FD8D4C8542AF}">
      <formula1>"ensight,h3d,ensight_and_h3d"</formula1>
    </dataValidation>
  </dataValidations>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07FB-CA03-452A-8D67-D12B5BE9025E}">
  <sheetPr>
    <tabColor rgb="FF0070C0"/>
  </sheetPr>
  <dimension ref="B1:E17"/>
  <sheetViews>
    <sheetView zoomScaleNormal="100" workbookViewId="0">
      <selection activeCell="E29" sqref="E29"/>
    </sheetView>
  </sheetViews>
  <sheetFormatPr defaultRowHeight="13.5" x14ac:dyDescent="0.15"/>
  <cols>
    <col min="2" max="2" width="47.875" customWidth="1"/>
    <col min="3" max="3" width="15.625" customWidth="1"/>
    <col min="4" max="4" width="10.375" bestFit="1" customWidth="1"/>
    <col min="5" max="5" width="146.75" bestFit="1" customWidth="1"/>
  </cols>
  <sheetData>
    <row r="1" spans="2:5" ht="21" customHeight="1" x14ac:dyDescent="0.15">
      <c r="B1" s="17" t="s">
        <v>178</v>
      </c>
      <c r="C1" s="17" t="s">
        <v>179</v>
      </c>
      <c r="D1" s="2" t="s">
        <v>156</v>
      </c>
      <c r="E1" s="2" t="s">
        <v>148</v>
      </c>
    </row>
    <row r="2" spans="2:5" ht="21" customHeight="1" x14ac:dyDescent="0.15">
      <c r="B2" s="19" t="s">
        <v>180</v>
      </c>
      <c r="C2" s="107" t="s">
        <v>372</v>
      </c>
      <c r="D2" s="20" t="s">
        <v>197</v>
      </c>
      <c r="E2" s="21"/>
    </row>
    <row r="3" spans="2:5" ht="21" customHeight="1" x14ac:dyDescent="0.15">
      <c r="B3" s="19" t="s">
        <v>181</v>
      </c>
      <c r="C3" s="107" t="s">
        <v>372</v>
      </c>
      <c r="D3" s="20" t="s">
        <v>197</v>
      </c>
      <c r="E3" s="21"/>
    </row>
    <row r="4" spans="2:5" ht="21" customHeight="1" x14ac:dyDescent="0.15">
      <c r="B4" s="19" t="s">
        <v>182</v>
      </c>
      <c r="C4" s="107" t="s">
        <v>372</v>
      </c>
      <c r="D4" s="20" t="s">
        <v>197</v>
      </c>
      <c r="E4" s="21"/>
    </row>
    <row r="5" spans="2:5" ht="21" customHeight="1" x14ac:dyDescent="0.15">
      <c r="B5" s="19" t="s">
        <v>183</v>
      </c>
      <c r="C5" s="107" t="s">
        <v>373</v>
      </c>
      <c r="D5" s="20" t="s">
        <v>197</v>
      </c>
      <c r="E5" s="21"/>
    </row>
    <row r="6" spans="2:5" ht="21" customHeight="1" x14ac:dyDescent="0.15">
      <c r="B6" s="19" t="s">
        <v>184</v>
      </c>
      <c r="C6" s="107" t="s">
        <v>372</v>
      </c>
      <c r="D6" s="20" t="s">
        <v>197</v>
      </c>
      <c r="E6" s="21"/>
    </row>
    <row r="7" spans="2:5" ht="21" customHeight="1" x14ac:dyDescent="0.15">
      <c r="B7" s="19" t="s">
        <v>185</v>
      </c>
      <c r="C7" s="107" t="s">
        <v>372</v>
      </c>
      <c r="D7" s="20" t="s">
        <v>197</v>
      </c>
      <c r="E7" s="21"/>
    </row>
    <row r="8" spans="2:5" ht="21" customHeight="1" x14ac:dyDescent="0.15">
      <c r="B8" s="19" t="s">
        <v>186</v>
      </c>
      <c r="C8" s="107" t="s">
        <v>373</v>
      </c>
      <c r="D8" s="20" t="s">
        <v>197</v>
      </c>
      <c r="E8" s="21"/>
    </row>
    <row r="9" spans="2:5" ht="21" customHeight="1" x14ac:dyDescent="0.15">
      <c r="B9" s="19" t="s">
        <v>187</v>
      </c>
      <c r="C9" s="107" t="s">
        <v>372</v>
      </c>
      <c r="D9" s="20" t="s">
        <v>197</v>
      </c>
      <c r="E9" s="21"/>
    </row>
    <row r="10" spans="2:5" ht="21" customHeight="1" x14ac:dyDescent="0.15">
      <c r="B10" s="19" t="s">
        <v>188</v>
      </c>
      <c r="C10" s="107" t="s">
        <v>372</v>
      </c>
      <c r="D10" s="20" t="s">
        <v>197</v>
      </c>
      <c r="E10" s="21"/>
    </row>
    <row r="11" spans="2:5" ht="21" customHeight="1" x14ac:dyDescent="0.15">
      <c r="B11" s="19" t="s">
        <v>189</v>
      </c>
      <c r="C11" s="107" t="s">
        <v>372</v>
      </c>
      <c r="D11" s="20" t="s">
        <v>197</v>
      </c>
    </row>
    <row r="12" spans="2:5" ht="21" customHeight="1" x14ac:dyDescent="0.15">
      <c r="B12" s="19" t="s">
        <v>190</v>
      </c>
      <c r="C12" s="107" t="s">
        <v>372</v>
      </c>
      <c r="D12" s="20" t="s">
        <v>197</v>
      </c>
    </row>
    <row r="13" spans="2:5" x14ac:dyDescent="0.15">
      <c r="B13" s="19" t="s">
        <v>191</v>
      </c>
      <c r="C13" s="107" t="s">
        <v>372</v>
      </c>
      <c r="D13" s="20" t="s">
        <v>197</v>
      </c>
    </row>
    <row r="14" spans="2:5" x14ac:dyDescent="0.15">
      <c r="B14" s="19" t="s">
        <v>192</v>
      </c>
      <c r="C14" s="107" t="s">
        <v>372</v>
      </c>
      <c r="D14" s="20" t="s">
        <v>197</v>
      </c>
    </row>
    <row r="15" spans="2:5" x14ac:dyDescent="0.15">
      <c r="B15" s="19" t="s">
        <v>198</v>
      </c>
      <c r="C15" s="107" t="s">
        <v>372</v>
      </c>
      <c r="D15" s="20" t="s">
        <v>197</v>
      </c>
    </row>
    <row r="16" spans="2:5" x14ac:dyDescent="0.15">
      <c r="B16" s="19" t="s">
        <v>205</v>
      </c>
      <c r="C16" s="107" t="s">
        <v>373</v>
      </c>
      <c r="D16" s="20" t="s">
        <v>197</v>
      </c>
      <c r="E16" t="s">
        <v>207</v>
      </c>
    </row>
    <row r="17" spans="2:5" x14ac:dyDescent="0.15">
      <c r="B17" s="19" t="s">
        <v>206</v>
      </c>
      <c r="C17" s="107" t="s">
        <v>373</v>
      </c>
      <c r="D17" s="20" t="s">
        <v>197</v>
      </c>
      <c r="E17" t="s">
        <v>208</v>
      </c>
    </row>
  </sheetData>
  <phoneticPr fontId="1"/>
  <dataValidations count="1">
    <dataValidation type="list" allowBlank="1" showInputMessage="1" showErrorMessage="1" sqref="C2:C17" xr:uid="{7AA6A56C-59B6-463A-A172-83228806C489}">
      <formula1>"'True,'False"</formula1>
    </dataValidation>
  </dataValidation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BBC88-9172-4424-9D6E-DD8F1F747464}">
  <sheetPr>
    <tabColor rgb="FF7030A0"/>
  </sheetPr>
  <dimension ref="B1:E21"/>
  <sheetViews>
    <sheetView zoomScaleNormal="100" workbookViewId="0">
      <selection activeCell="B2" sqref="B2:B21"/>
    </sheetView>
  </sheetViews>
  <sheetFormatPr defaultRowHeight="13.5" x14ac:dyDescent="0.15"/>
  <cols>
    <col min="2" max="2" width="47.875" customWidth="1"/>
    <col min="3" max="3" width="15.625" customWidth="1"/>
    <col min="4" max="4" width="10.375" bestFit="1" customWidth="1"/>
    <col min="5" max="5" width="146.75" bestFit="1" customWidth="1"/>
  </cols>
  <sheetData>
    <row r="1" spans="2:5" ht="21" customHeight="1" x14ac:dyDescent="0.15">
      <c r="B1" s="17" t="s">
        <v>178</v>
      </c>
      <c r="C1" s="17" t="s">
        <v>179</v>
      </c>
      <c r="D1" s="2" t="s">
        <v>156</v>
      </c>
      <c r="E1" s="2" t="s">
        <v>148</v>
      </c>
    </row>
    <row r="2" spans="2:5" ht="21" customHeight="1" x14ac:dyDescent="0.15">
      <c r="B2" s="19" t="s">
        <v>180</v>
      </c>
      <c r="C2" s="107" t="s">
        <v>372</v>
      </c>
      <c r="D2" s="20" t="s">
        <v>197</v>
      </c>
      <c r="E2" s="21"/>
    </row>
    <row r="3" spans="2:5" ht="21" customHeight="1" x14ac:dyDescent="0.15">
      <c r="B3" s="19" t="s">
        <v>181</v>
      </c>
      <c r="C3" s="107" t="s">
        <v>372</v>
      </c>
      <c r="D3" s="20" t="s">
        <v>197</v>
      </c>
      <c r="E3" s="21"/>
    </row>
    <row r="4" spans="2:5" ht="21" customHeight="1" x14ac:dyDescent="0.15">
      <c r="B4" s="19" t="s">
        <v>182</v>
      </c>
      <c r="C4" s="107" t="s">
        <v>372</v>
      </c>
      <c r="D4" s="20" t="s">
        <v>197</v>
      </c>
      <c r="E4" s="21"/>
    </row>
    <row r="5" spans="2:5" ht="21" customHeight="1" x14ac:dyDescent="0.15">
      <c r="B5" s="19" t="s">
        <v>183</v>
      </c>
      <c r="C5" s="107" t="s">
        <v>373</v>
      </c>
      <c r="D5" s="20" t="s">
        <v>197</v>
      </c>
      <c r="E5" s="21"/>
    </row>
    <row r="6" spans="2:5" ht="21" customHeight="1" x14ac:dyDescent="0.15">
      <c r="B6" s="19" t="s">
        <v>184</v>
      </c>
      <c r="C6" s="107" t="s">
        <v>372</v>
      </c>
      <c r="D6" s="20" t="s">
        <v>197</v>
      </c>
      <c r="E6" s="21"/>
    </row>
    <row r="7" spans="2:5" ht="21" customHeight="1" x14ac:dyDescent="0.15">
      <c r="B7" s="19" t="s">
        <v>185</v>
      </c>
      <c r="C7" s="107" t="s">
        <v>372</v>
      </c>
      <c r="D7" s="20" t="s">
        <v>197</v>
      </c>
      <c r="E7" s="21"/>
    </row>
    <row r="8" spans="2:5" ht="21" customHeight="1" x14ac:dyDescent="0.15">
      <c r="B8" s="19" t="s">
        <v>186</v>
      </c>
      <c r="C8" s="107" t="s">
        <v>373</v>
      </c>
      <c r="D8" s="20" t="s">
        <v>197</v>
      </c>
      <c r="E8" s="21"/>
    </row>
    <row r="9" spans="2:5" ht="21" customHeight="1" x14ac:dyDescent="0.15">
      <c r="B9" s="19" t="s">
        <v>187</v>
      </c>
      <c r="C9" s="107" t="s">
        <v>372</v>
      </c>
      <c r="D9" s="20" t="s">
        <v>197</v>
      </c>
      <c r="E9" s="21"/>
    </row>
    <row r="10" spans="2:5" ht="21" customHeight="1" x14ac:dyDescent="0.15">
      <c r="B10" s="19" t="s">
        <v>188</v>
      </c>
      <c r="C10" s="107" t="s">
        <v>372</v>
      </c>
      <c r="D10" s="20" t="s">
        <v>197</v>
      </c>
      <c r="E10" s="21"/>
    </row>
    <row r="11" spans="2:5" ht="21" customHeight="1" x14ac:dyDescent="0.15">
      <c r="B11" s="19" t="s">
        <v>189</v>
      </c>
      <c r="C11" s="107" t="s">
        <v>372</v>
      </c>
      <c r="D11" s="20" t="s">
        <v>197</v>
      </c>
    </row>
    <row r="12" spans="2:5" ht="21" customHeight="1" x14ac:dyDescent="0.15">
      <c r="B12" s="19" t="s">
        <v>190</v>
      </c>
      <c r="C12" s="107" t="s">
        <v>372</v>
      </c>
      <c r="D12" s="20" t="s">
        <v>197</v>
      </c>
    </row>
    <row r="13" spans="2:5" x14ac:dyDescent="0.15">
      <c r="B13" s="19" t="s">
        <v>191</v>
      </c>
      <c r="C13" s="107" t="s">
        <v>372</v>
      </c>
      <c r="D13" s="20" t="s">
        <v>197</v>
      </c>
    </row>
    <row r="14" spans="2:5" x14ac:dyDescent="0.15">
      <c r="B14" s="19" t="s">
        <v>192</v>
      </c>
      <c r="C14" s="107" t="s">
        <v>372</v>
      </c>
      <c r="D14" s="20" t="s">
        <v>197</v>
      </c>
    </row>
    <row r="15" spans="2:5" x14ac:dyDescent="0.15">
      <c r="B15" s="19" t="s">
        <v>193</v>
      </c>
      <c r="C15" s="107" t="s">
        <v>372</v>
      </c>
      <c r="D15" s="20" t="s">
        <v>197</v>
      </c>
    </row>
    <row r="16" spans="2:5" x14ac:dyDescent="0.15">
      <c r="B16" s="19" t="s">
        <v>194</v>
      </c>
      <c r="C16" s="107" t="s">
        <v>373</v>
      </c>
      <c r="D16" s="20" t="s">
        <v>197</v>
      </c>
    </row>
    <row r="17" spans="2:5" x14ac:dyDescent="0.15">
      <c r="B17" s="19" t="s">
        <v>195</v>
      </c>
      <c r="C17" s="107" t="s">
        <v>372</v>
      </c>
      <c r="D17" s="20" t="s">
        <v>197</v>
      </c>
    </row>
    <row r="18" spans="2:5" x14ac:dyDescent="0.15">
      <c r="B18" s="19" t="s">
        <v>196</v>
      </c>
      <c r="C18" s="9" t="s">
        <v>371</v>
      </c>
      <c r="D18" s="20" t="s">
        <v>197</v>
      </c>
    </row>
    <row r="19" spans="2:5" x14ac:dyDescent="0.15">
      <c r="B19" s="19" t="s">
        <v>198</v>
      </c>
      <c r="C19" s="107" t="s">
        <v>372</v>
      </c>
      <c r="D19" s="20" t="s">
        <v>197</v>
      </c>
    </row>
    <row r="20" spans="2:5" x14ac:dyDescent="0.15">
      <c r="B20" s="19" t="s">
        <v>205</v>
      </c>
      <c r="C20" s="107" t="s">
        <v>373</v>
      </c>
      <c r="D20" s="20" t="s">
        <v>197</v>
      </c>
      <c r="E20" t="s">
        <v>207</v>
      </c>
    </row>
    <row r="21" spans="2:5" x14ac:dyDescent="0.15">
      <c r="B21" s="19" t="s">
        <v>206</v>
      </c>
      <c r="C21" s="107" t="s">
        <v>373</v>
      </c>
      <c r="D21" s="20" t="s">
        <v>197</v>
      </c>
      <c r="E21" t="s">
        <v>208</v>
      </c>
    </row>
  </sheetData>
  <phoneticPr fontId="1"/>
  <dataValidations count="2">
    <dataValidation type="list" allowBlank="1" showInputMessage="1" showErrorMessage="1" sqref="C18" xr:uid="{FAACBBF2-F234-4F95-9653-38432AC0BC5C}">
      <formula1>"""True"",""False"""</formula1>
    </dataValidation>
    <dataValidation type="list" allowBlank="1" showInputMessage="1" showErrorMessage="1" sqref="C2:C17 C19:C21" xr:uid="{193AC3D0-7ADF-48ED-925E-0AB13E5C131E}">
      <formula1>"'True,'False"</formula1>
    </dataValidation>
  </dataValidations>
  <pageMargins left="0.7" right="0.7" top="0.75" bottom="0.75" header="0.3" footer="0.3"/>
  <pageSetup paperSize="9" orientation="portrait" verticalDpi="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6EE4-EB1E-4B65-9E02-5D2FE8ED297B}">
  <sheetPr>
    <tabColor rgb="FF7030A0"/>
  </sheetPr>
  <dimension ref="B1:E17"/>
  <sheetViews>
    <sheetView zoomScaleNormal="100" workbookViewId="0">
      <selection activeCell="E18" sqref="E18"/>
    </sheetView>
  </sheetViews>
  <sheetFormatPr defaultRowHeight="13.5" x14ac:dyDescent="0.15"/>
  <cols>
    <col min="2" max="2" width="47.875" customWidth="1"/>
    <col min="3" max="3" width="15.625" customWidth="1"/>
    <col min="4" max="4" width="10.375" bestFit="1" customWidth="1"/>
    <col min="5" max="5" width="146.75" bestFit="1" customWidth="1"/>
  </cols>
  <sheetData>
    <row r="1" spans="2:5" ht="21" customHeight="1" x14ac:dyDescent="0.15">
      <c r="B1" s="17" t="s">
        <v>178</v>
      </c>
      <c r="C1" s="17" t="s">
        <v>179</v>
      </c>
      <c r="D1" s="2" t="s">
        <v>156</v>
      </c>
      <c r="E1" s="2" t="s">
        <v>148</v>
      </c>
    </row>
    <row r="2" spans="2:5" ht="21" customHeight="1" x14ac:dyDescent="0.15">
      <c r="B2" s="19" t="s">
        <v>358</v>
      </c>
      <c r="C2" s="107" t="s">
        <v>372</v>
      </c>
      <c r="D2" s="20" t="s">
        <v>197</v>
      </c>
      <c r="E2" s="21"/>
    </row>
    <row r="3" spans="2:5" ht="21" customHeight="1" x14ac:dyDescent="0.15">
      <c r="B3" s="19" t="s">
        <v>181</v>
      </c>
      <c r="C3" s="107" t="s">
        <v>372</v>
      </c>
      <c r="D3" s="20" t="s">
        <v>197</v>
      </c>
      <c r="E3" s="21"/>
    </row>
    <row r="4" spans="2:5" ht="21" customHeight="1" x14ac:dyDescent="0.15">
      <c r="B4" s="19" t="s">
        <v>182</v>
      </c>
      <c r="C4" s="107" t="s">
        <v>372</v>
      </c>
      <c r="D4" s="20" t="s">
        <v>197</v>
      </c>
      <c r="E4" s="21"/>
    </row>
    <row r="5" spans="2:5" ht="21" customHeight="1" x14ac:dyDescent="0.15">
      <c r="B5" s="19" t="s">
        <v>183</v>
      </c>
      <c r="C5" s="107" t="s">
        <v>373</v>
      </c>
      <c r="D5" s="20" t="s">
        <v>197</v>
      </c>
      <c r="E5" s="21"/>
    </row>
    <row r="6" spans="2:5" ht="21" customHeight="1" x14ac:dyDescent="0.15">
      <c r="B6" s="19" t="s">
        <v>184</v>
      </c>
      <c r="C6" s="107" t="s">
        <v>372</v>
      </c>
      <c r="D6" s="20" t="s">
        <v>197</v>
      </c>
      <c r="E6" s="21"/>
    </row>
    <row r="7" spans="2:5" ht="21" customHeight="1" x14ac:dyDescent="0.15">
      <c r="B7" s="19" t="s">
        <v>187</v>
      </c>
      <c r="C7" s="107" t="s">
        <v>372</v>
      </c>
      <c r="D7" s="20" t="s">
        <v>197</v>
      </c>
      <c r="E7" s="21"/>
    </row>
    <row r="8" spans="2:5" ht="21" customHeight="1" x14ac:dyDescent="0.15">
      <c r="B8" s="19" t="s">
        <v>188</v>
      </c>
      <c r="C8" s="107" t="s">
        <v>372</v>
      </c>
      <c r="D8" s="20" t="s">
        <v>197</v>
      </c>
      <c r="E8" s="21"/>
    </row>
    <row r="9" spans="2:5" ht="21" customHeight="1" x14ac:dyDescent="0.15">
      <c r="B9" s="19" t="s">
        <v>189</v>
      </c>
      <c r="C9" s="107" t="s">
        <v>372</v>
      </c>
      <c r="D9" s="20" t="s">
        <v>197</v>
      </c>
    </row>
    <row r="10" spans="2:5" ht="21" customHeight="1" x14ac:dyDescent="0.15">
      <c r="B10" s="19" t="s">
        <v>190</v>
      </c>
      <c r="C10" s="107" t="s">
        <v>372</v>
      </c>
      <c r="D10" s="20" t="s">
        <v>197</v>
      </c>
    </row>
    <row r="11" spans="2:5" x14ac:dyDescent="0.15">
      <c r="B11" s="19" t="s">
        <v>191</v>
      </c>
      <c r="C11" s="107" t="s">
        <v>372</v>
      </c>
      <c r="D11" s="20" t="s">
        <v>197</v>
      </c>
    </row>
    <row r="12" spans="2:5" x14ac:dyDescent="0.15">
      <c r="B12" s="19" t="s">
        <v>192</v>
      </c>
      <c r="C12" s="107" t="s">
        <v>372</v>
      </c>
      <c r="D12" s="20" t="s">
        <v>197</v>
      </c>
    </row>
    <row r="13" spans="2:5" x14ac:dyDescent="0.15">
      <c r="B13" s="19" t="s">
        <v>193</v>
      </c>
      <c r="C13" s="107" t="s">
        <v>372</v>
      </c>
      <c r="D13" s="20" t="s">
        <v>197</v>
      </c>
    </row>
    <row r="14" spans="2:5" x14ac:dyDescent="0.15">
      <c r="B14" s="19" t="s">
        <v>194</v>
      </c>
      <c r="C14" s="107" t="s">
        <v>373</v>
      </c>
      <c r="D14" s="20" t="s">
        <v>197</v>
      </c>
    </row>
    <row r="15" spans="2:5" x14ac:dyDescent="0.15">
      <c r="B15" s="19" t="s">
        <v>195</v>
      </c>
      <c r="C15" s="107" t="s">
        <v>372</v>
      </c>
      <c r="D15" s="20" t="s">
        <v>197</v>
      </c>
    </row>
    <row r="16" spans="2:5" x14ac:dyDescent="0.15">
      <c r="B16" s="19" t="s">
        <v>196</v>
      </c>
      <c r="C16" s="107" t="s">
        <v>373</v>
      </c>
      <c r="D16" s="20" t="s">
        <v>197</v>
      </c>
    </row>
    <row r="17" spans="2:4" x14ac:dyDescent="0.15">
      <c r="B17" s="19" t="s">
        <v>198</v>
      </c>
      <c r="C17" s="107" t="s">
        <v>372</v>
      </c>
      <c r="D17" s="20" t="s">
        <v>197</v>
      </c>
    </row>
  </sheetData>
  <phoneticPr fontId="1"/>
  <dataValidations count="1">
    <dataValidation type="list" allowBlank="1" showInputMessage="1" showErrorMessage="1" sqref="C2:C17" xr:uid="{3AC8BADC-15BD-48B8-AA77-B306FBCFD757}">
      <formula1>"'True,'False"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904B0-EC40-452A-9DF7-6C853BC9820B}">
  <sheetPr>
    <tabColor theme="2" tint="-0.499984740745262"/>
  </sheetPr>
  <dimension ref="A1:V29"/>
  <sheetViews>
    <sheetView showGridLines="0" topLeftCell="D1" workbookViewId="0">
      <selection activeCell="G53" sqref="G53"/>
    </sheetView>
  </sheetViews>
  <sheetFormatPr defaultColWidth="8.875" defaultRowHeight="15" x14ac:dyDescent="0.25"/>
  <cols>
    <col min="1" max="1" width="33.375" style="23" customWidth="1"/>
    <col min="2" max="2" width="12.625" style="23" bestFit="1" customWidth="1"/>
    <col min="3" max="3" width="15.75" style="23" bestFit="1" customWidth="1"/>
    <col min="4" max="4" width="8.875" style="23" customWidth="1"/>
    <col min="5" max="11" width="15.75" style="23" customWidth="1"/>
    <col min="12" max="12" width="26.625" style="23" bestFit="1" customWidth="1"/>
    <col min="13" max="14" width="15.75" style="23" customWidth="1"/>
    <col min="15" max="15" width="8.875" style="23" customWidth="1"/>
    <col min="16" max="16" width="31.125" style="23" bestFit="1" customWidth="1"/>
    <col min="17" max="17" width="30.25" style="23" bestFit="1" customWidth="1"/>
    <col min="18" max="18" width="20.375" style="23" bestFit="1" customWidth="1"/>
    <col min="19" max="19" width="38.25" style="23" bestFit="1" customWidth="1"/>
    <col min="20" max="20" width="25" style="23" bestFit="1" customWidth="1"/>
    <col min="21" max="21" width="30.625" style="23" bestFit="1" customWidth="1"/>
    <col min="22" max="22" width="17.75" style="23" bestFit="1" customWidth="1"/>
    <col min="23" max="16384" width="8.875" style="23"/>
  </cols>
  <sheetData>
    <row r="1" spans="1:22" x14ac:dyDescent="0.25">
      <c r="A1" s="22" t="s">
        <v>212</v>
      </c>
    </row>
    <row r="2" spans="1:22" x14ac:dyDescent="0.25">
      <c r="A2" s="24"/>
      <c r="B2" s="133" t="s">
        <v>213</v>
      </c>
      <c r="C2" s="133"/>
    </row>
    <row r="3" spans="1:22" x14ac:dyDescent="0.25">
      <c r="A3" s="26"/>
      <c r="B3" s="25" t="s">
        <v>214</v>
      </c>
      <c r="C3" s="27"/>
    </row>
    <row r="4" spans="1:22" x14ac:dyDescent="0.25">
      <c r="B4" s="28"/>
      <c r="C4" s="27"/>
    </row>
    <row r="5" spans="1:22" ht="15.75" thickBot="1" x14ac:dyDescent="0.3">
      <c r="B5" s="28"/>
      <c r="C5" s="27"/>
    </row>
    <row r="6" spans="1:22" s="29" customFormat="1" ht="15.75" thickBot="1" x14ac:dyDescent="0.2">
      <c r="A6" s="118" t="s">
        <v>215</v>
      </c>
      <c r="B6" s="119"/>
      <c r="C6" s="120"/>
      <c r="E6" s="118" t="s">
        <v>216</v>
      </c>
      <c r="F6" s="119"/>
      <c r="G6" s="119"/>
      <c r="H6" s="119"/>
      <c r="I6" s="119"/>
      <c r="J6" s="119"/>
      <c r="K6" s="119"/>
      <c r="L6" s="119"/>
      <c r="M6" s="119"/>
      <c r="N6" s="120"/>
      <c r="P6" s="134" t="s">
        <v>217</v>
      </c>
      <c r="Q6" s="135"/>
      <c r="R6" s="135"/>
      <c r="S6" s="135"/>
      <c r="T6" s="135"/>
      <c r="U6" s="135"/>
      <c r="V6" s="136"/>
    </row>
    <row r="7" spans="1:22" s="29" customFormat="1" ht="18.600000000000001" customHeight="1" thickBot="1" x14ac:dyDescent="0.2"/>
    <row r="8" spans="1:22" s="29" customFormat="1" x14ac:dyDescent="0.15">
      <c r="A8" s="115" t="s">
        <v>218</v>
      </c>
      <c r="B8" s="116"/>
      <c r="C8" s="117"/>
      <c r="E8" s="121" t="s">
        <v>219</v>
      </c>
      <c r="F8" s="124" t="s">
        <v>220</v>
      </c>
      <c r="G8" s="125"/>
      <c r="H8" s="124" t="s">
        <v>221</v>
      </c>
      <c r="I8" s="125"/>
      <c r="J8" s="124" t="s">
        <v>222</v>
      </c>
      <c r="K8" s="125"/>
      <c r="L8" s="30" t="s">
        <v>223</v>
      </c>
      <c r="M8" s="124" t="s">
        <v>224</v>
      </c>
      <c r="N8" s="128"/>
      <c r="P8" s="31" t="s">
        <v>225</v>
      </c>
      <c r="Q8" s="32" t="s">
        <v>226</v>
      </c>
      <c r="R8" s="32" t="s">
        <v>227</v>
      </c>
      <c r="S8" s="32" t="s">
        <v>228</v>
      </c>
      <c r="T8" s="32" t="s">
        <v>229</v>
      </c>
      <c r="U8" s="32" t="s">
        <v>230</v>
      </c>
      <c r="V8" s="33" t="s">
        <v>231</v>
      </c>
    </row>
    <row r="9" spans="1:22" s="29" customFormat="1" ht="18" x14ac:dyDescent="0.15">
      <c r="A9" s="34" t="s">
        <v>232</v>
      </c>
      <c r="B9" s="35">
        <v>1.2040999999999999</v>
      </c>
      <c r="C9" s="36" t="s">
        <v>233</v>
      </c>
      <c r="E9" s="122"/>
      <c r="F9" s="112"/>
      <c r="G9" s="129"/>
      <c r="H9" s="112" t="s">
        <v>234</v>
      </c>
      <c r="I9" s="129"/>
      <c r="J9" s="112"/>
      <c r="K9" s="129"/>
      <c r="L9" s="37"/>
      <c r="M9" s="112" t="s">
        <v>235</v>
      </c>
      <c r="N9" s="113"/>
      <c r="P9" s="38" t="s">
        <v>236</v>
      </c>
      <c r="Q9" s="39" t="s">
        <v>237</v>
      </c>
      <c r="R9" s="39" t="s">
        <v>238</v>
      </c>
      <c r="S9" s="39" t="s">
        <v>237</v>
      </c>
      <c r="T9" s="39" t="s">
        <v>239</v>
      </c>
      <c r="U9" s="39" t="s">
        <v>236</v>
      </c>
      <c r="V9" s="40" t="s">
        <v>236</v>
      </c>
    </row>
    <row r="10" spans="1:22" s="29" customFormat="1" ht="18" x14ac:dyDescent="0.15">
      <c r="A10" s="34" t="s">
        <v>240</v>
      </c>
      <c r="B10" s="41">
        <v>1.8193999999999999E-5</v>
      </c>
      <c r="C10" s="36" t="s">
        <v>241</v>
      </c>
      <c r="E10" s="123"/>
      <c r="F10" s="42" t="s">
        <v>238</v>
      </c>
      <c r="G10" s="43" t="s">
        <v>242</v>
      </c>
      <c r="H10" s="42" t="s">
        <v>238</v>
      </c>
      <c r="I10" s="43" t="s">
        <v>242</v>
      </c>
      <c r="J10" s="42" t="s">
        <v>238</v>
      </c>
      <c r="K10" s="43" t="s">
        <v>242</v>
      </c>
      <c r="L10" s="44" t="s">
        <v>237</v>
      </c>
      <c r="M10" s="42" t="s">
        <v>242</v>
      </c>
      <c r="N10" s="45" t="s">
        <v>237</v>
      </c>
      <c r="P10" s="46">
        <f>IF(($B$25-I11+1)/M11-1&gt;0,($B$25-I11+1)/M11-1,1)</f>
        <v>40903.116193253853</v>
      </c>
      <c r="Q10" s="47">
        <f>L11/$T$17</f>
        <v>31.865245093792524</v>
      </c>
      <c r="R10" s="48">
        <f>1/L11</f>
        <v>2.7027027027027027E-5</v>
      </c>
      <c r="S10" s="49">
        <f>15/F11</f>
        <v>13.636363636363635</v>
      </c>
      <c r="T10" s="50">
        <f>1/Q10</f>
        <v>3.1382153096785811E-2</v>
      </c>
      <c r="U10" s="51">
        <f>IF(M11&lt;1,MATCH(M11-FLOOR(M11,1),$S$17:$S$29,0)-1,0)</f>
        <v>5</v>
      </c>
      <c r="V10" s="52">
        <f>N11/L11-1</f>
        <v>4.2288990971459661E-3</v>
      </c>
    </row>
    <row r="11" spans="1:22" s="29" customFormat="1" x14ac:dyDescent="0.25">
      <c r="A11" s="114" t="s">
        <v>243</v>
      </c>
      <c r="B11" s="53">
        <v>20</v>
      </c>
      <c r="C11" s="54" t="s">
        <v>244</v>
      </c>
      <c r="E11" s="55" t="s">
        <v>245</v>
      </c>
      <c r="F11" s="56">
        <v>1.1000000000000001</v>
      </c>
      <c r="G11" s="57">
        <f>F11/TS</f>
        <v>1277.2536310391829</v>
      </c>
      <c r="H11" s="58">
        <f>Sim_t-F11</f>
        <v>0</v>
      </c>
      <c r="I11" s="59">
        <v>0</v>
      </c>
      <c r="J11" s="60">
        <f>F11+H11</f>
        <v>1.1000000000000001</v>
      </c>
      <c r="K11" s="61">
        <f>J11/TS</f>
        <v>1277.2536310391829</v>
      </c>
      <c r="L11" s="62">
        <v>37000</v>
      </c>
      <c r="M11" s="63" cm="1">
        <f t="array" ref="M11">IF(MIN(IF(ABS($S$17:$S$29-T10-FLOOR(T10,1))=MIN(ABS($S$17:$S$29-T10-FLOOR(T10,1))),$S$17:$S$29))+FLOOR(T10,1)&lt;1,MIN(IF(ABS($S$17:$S$29-T10-FLOOR(T10,1))=MIN(ABS($S$17:$S$29-T10-FLOOR(T10,1))),$S$17:$S$29))+FLOOR(T10,1),FLOOR(T10,1)+1)</f>
        <v>3.125E-2</v>
      </c>
      <c r="N11" s="64">
        <f>IF(U10&gt;0,2^U10/TS,2^U10/TS/FLOOR(M11,1))</f>
        <v>37156.469266594402</v>
      </c>
      <c r="P11" s="46">
        <f>IF(($B$25-I12+1)/M12-1&gt;0,($B$25-I12+1)/M12-1,1)</f>
        <v>236.01452415673157</v>
      </c>
      <c r="Q11" s="47">
        <f>L12/$T$17</f>
        <v>3.9616250657147463</v>
      </c>
      <c r="R11" s="48">
        <f>1/L12</f>
        <v>2.173913043478261E-4</v>
      </c>
      <c r="S11" s="49">
        <f>15/F12</f>
        <v>300</v>
      </c>
      <c r="T11" s="50">
        <f>1/Q11</f>
        <v>0.25242166621327722</v>
      </c>
      <c r="U11" s="51">
        <f>IF(M12&lt;1,MATCH(M12-FLOOR(M12,1),$S$17:$S$29,0)-1,0)</f>
        <v>2</v>
      </c>
      <c r="V11" s="52">
        <f>N12/L12-1</f>
        <v>9.6866648531086508E-3</v>
      </c>
    </row>
    <row r="12" spans="1:22" s="29" customFormat="1" x14ac:dyDescent="0.25">
      <c r="A12" s="114"/>
      <c r="B12" s="65">
        <f>B11+273.15</f>
        <v>293.14999999999998</v>
      </c>
      <c r="C12" s="66" t="s">
        <v>246</v>
      </c>
      <c r="E12" s="55" t="s">
        <v>247</v>
      </c>
      <c r="F12" s="56">
        <v>0.05</v>
      </c>
      <c r="G12" s="57">
        <f>F12/TS</f>
        <v>58.056983229053763</v>
      </c>
      <c r="H12" s="58">
        <f>Sim_t-F12</f>
        <v>1.05</v>
      </c>
      <c r="I12" s="59">
        <f>ROUNDDOWN(H12/TS,0)</f>
        <v>1219</v>
      </c>
      <c r="J12" s="60">
        <f t="shared" ref="J12:J14" si="0">F12+H12</f>
        <v>1.1000000000000001</v>
      </c>
      <c r="K12" s="61">
        <f>J12/TS</f>
        <v>1277.2536310391829</v>
      </c>
      <c r="L12" s="62">
        <v>4600</v>
      </c>
      <c r="M12" s="63" cm="1">
        <f t="array" ref="M12">IF(MIN(IF(ABS($S$17:$S$29-T11-FLOOR(T11,1))=MIN(ABS($S$17:$S$29-T11-FLOOR(T11,1))),$S$17:$S$29))+FLOOR(T11,1)&lt;1,MIN(IF(ABS($S$17:$S$29-T11-FLOOR(T11,1))=MIN(ABS($S$17:$S$29-T11-FLOOR(T11,1))),$S$17:$S$29))+FLOOR(T11,1),FLOOR(T11,1)+1)</f>
        <v>0.25</v>
      </c>
      <c r="N12" s="64">
        <f>IF(U11&gt;0,2^U11/TS,2^U11/TS/FLOOR(M12,1))</f>
        <v>4644.5586583243003</v>
      </c>
      <c r="P12" s="46">
        <f>IF(($B$25-I13+1)/M13-1&gt;0,($B$25-I13+1)/M13-1,1)</f>
        <v>29767.116193253853</v>
      </c>
      <c r="Q12" s="47">
        <f>L13/$T$17</f>
        <v>31.865245093792524</v>
      </c>
      <c r="R12" s="48">
        <f>1/L13</f>
        <v>2.7027027027027027E-5</v>
      </c>
      <c r="S12" s="49">
        <f>15/F13</f>
        <v>18.75</v>
      </c>
      <c r="T12" s="50">
        <f>1/Q12</f>
        <v>3.1382153096785811E-2</v>
      </c>
      <c r="U12" s="51">
        <f>IF(M13&lt;1,MATCH(M13-FLOOR(M13,1),$S$17:$S$29,0)-1,0)</f>
        <v>5</v>
      </c>
      <c r="V12" s="52">
        <f>N13/L13-1</f>
        <v>4.2288990971459661E-3</v>
      </c>
    </row>
    <row r="13" spans="1:22" s="29" customFormat="1" ht="15.75" thickBot="1" x14ac:dyDescent="0.3">
      <c r="A13" s="34" t="s">
        <v>248</v>
      </c>
      <c r="B13" s="35">
        <v>287.05799999999999</v>
      </c>
      <c r="C13" s="36" t="s">
        <v>249</v>
      </c>
      <c r="E13" s="55" t="s">
        <v>250</v>
      </c>
      <c r="F13" s="56">
        <v>0.8</v>
      </c>
      <c r="G13" s="57">
        <f>F13/TS</f>
        <v>928.91173166486021</v>
      </c>
      <c r="H13" s="58">
        <f>Sim_t-F13</f>
        <v>0.30000000000000004</v>
      </c>
      <c r="I13" s="59">
        <f>ROUNDDOWN(H13/TS,0)</f>
        <v>348</v>
      </c>
      <c r="J13" s="60">
        <f t="shared" si="0"/>
        <v>1.1000000000000001</v>
      </c>
      <c r="K13" s="61">
        <f>J13/TS</f>
        <v>1277.2536310391829</v>
      </c>
      <c r="L13" s="62">
        <v>37000</v>
      </c>
      <c r="M13" s="63" cm="1">
        <f t="array" ref="M13">IF(MIN(IF(ABS($S$17:$S$29-T12-FLOOR(T12,1))=MIN(ABS($S$17:$S$29-T12-FLOOR(T12,1))),$S$17:$S$29))+FLOOR(T12,1)&lt;1,MIN(IF(ABS($S$17:$S$29-T12-FLOOR(T12,1))=MIN(ABS($S$17:$S$29-T12-FLOOR(T12,1))),$S$17:$S$29))+FLOOR(T12,1),FLOOR(T12,1)+1)</f>
        <v>3.125E-2</v>
      </c>
      <c r="N13" s="64">
        <f>IF(U12&gt;0,2^U12/TS,2^U12/TS/FLOOR(M13,1))</f>
        <v>37156.469266594402</v>
      </c>
      <c r="P13" s="67">
        <f>IF(($B$25-I14+1)/M14-1&gt;0,($B$25-I14+1)/M14-1,1)</f>
        <v>0.10446925326524092</v>
      </c>
      <c r="Q13" s="68">
        <f>L14/$T$17</f>
        <v>8.6122284037277091E-2</v>
      </c>
      <c r="R13" s="69">
        <f>1/L14</f>
        <v>0.01</v>
      </c>
      <c r="S13" s="70">
        <f>15/F14</f>
        <v>1500</v>
      </c>
      <c r="T13" s="71">
        <f>1/Q13</f>
        <v>11.611396645810752</v>
      </c>
      <c r="U13" s="72">
        <f>IF(M14&lt;1,MATCH(M14-FLOOR(M14,1),$S$17:$S$29,0)-1,0)</f>
        <v>0</v>
      </c>
      <c r="V13" s="73">
        <f>N14/L14-1</f>
        <v>-3.2383612849104071E-2</v>
      </c>
    </row>
    <row r="14" spans="1:22" s="29" customFormat="1" ht="15.75" thickBot="1" x14ac:dyDescent="0.3">
      <c r="A14" s="74" t="s">
        <v>251</v>
      </c>
      <c r="B14" s="75">
        <f>SQRT(1.4*Air_R*Air_T)</f>
        <v>343.2367605312694</v>
      </c>
      <c r="C14" s="76" t="s">
        <v>252</v>
      </c>
      <c r="E14" s="77" t="s">
        <v>253</v>
      </c>
      <c r="F14" s="78">
        <v>0.01</v>
      </c>
      <c r="G14" s="79">
        <f>F14/TS</f>
        <v>11.611396645810752</v>
      </c>
      <c r="H14" s="80">
        <f>Sim_t-F14</f>
        <v>1.0900000000000001</v>
      </c>
      <c r="I14" s="81">
        <f>ROUNDDOWN(H14/TS,0)</f>
        <v>1265</v>
      </c>
      <c r="J14" s="82">
        <f t="shared" si="0"/>
        <v>1.1000000000000001</v>
      </c>
      <c r="K14" s="83">
        <f>J14/TS</f>
        <v>1277.2536310391829</v>
      </c>
      <c r="L14" s="84">
        <v>100</v>
      </c>
      <c r="M14" s="85" cm="1">
        <f t="array" ref="M14">IF(MIN(IF(ABS($S$17:$S$29-T13-FLOOR(T13,1))=MIN(ABS($S$17:$S$29-T13-FLOOR(T13,1))),$S$17:$S$29))+FLOOR(T13,1)&lt;1,MIN(IF(ABS($S$17:$S$29-T13-FLOOR(T13,1))=MIN(ABS($S$17:$S$29-T13-FLOOR(T13,1))),$S$17:$S$29))+FLOOR(T13,1),FLOOR(T13,1)+1)</f>
        <v>12</v>
      </c>
      <c r="N14" s="86">
        <f>IF(U13&gt;0,2^U13/TS,2^U13/TS/FLOOR(M14,1))</f>
        <v>96.761638715089589</v>
      </c>
      <c r="P14" s="87"/>
      <c r="Q14" s="87"/>
      <c r="R14" s="87"/>
      <c r="S14" s="87"/>
      <c r="T14" s="87"/>
      <c r="U14" s="87"/>
      <c r="V14" s="87"/>
    </row>
    <row r="15" spans="1:22" s="29" customFormat="1" ht="17.25" thickBot="1" x14ac:dyDescent="0.2">
      <c r="P15" s="88" t="s">
        <v>254</v>
      </c>
      <c r="Q15" s="89" t="s">
        <v>255</v>
      </c>
      <c r="R15" s="89" t="s">
        <v>256</v>
      </c>
      <c r="S15" s="89" t="s">
        <v>257</v>
      </c>
      <c r="T15" s="132" t="s">
        <v>258</v>
      </c>
      <c r="U15" s="132"/>
      <c r="V15" s="90" t="s">
        <v>259</v>
      </c>
    </row>
    <row r="16" spans="1:22" s="29" customFormat="1" ht="15.75" thickBot="1" x14ac:dyDescent="0.2">
      <c r="A16" s="115" t="s">
        <v>260</v>
      </c>
      <c r="B16" s="116"/>
      <c r="C16" s="117"/>
      <c r="E16" s="118" t="s">
        <v>261</v>
      </c>
      <c r="F16" s="119"/>
      <c r="G16" s="119"/>
      <c r="H16" s="119"/>
      <c r="I16" s="119"/>
      <c r="J16" s="119"/>
      <c r="K16" s="119"/>
      <c r="L16" s="119"/>
      <c r="M16" s="120"/>
      <c r="N16" s="91"/>
      <c r="P16" s="38" t="s">
        <v>236</v>
      </c>
      <c r="Q16" s="39" t="s">
        <v>262</v>
      </c>
      <c r="R16" s="39" t="s">
        <v>236</v>
      </c>
      <c r="S16" s="39" t="s">
        <v>236</v>
      </c>
      <c r="T16" s="39" t="s">
        <v>237</v>
      </c>
      <c r="U16" s="39" t="s">
        <v>263</v>
      </c>
      <c r="V16" s="40" t="s">
        <v>238</v>
      </c>
    </row>
    <row r="17" spans="1:22" s="29" customFormat="1" ht="15.75" thickBot="1" x14ac:dyDescent="0.2">
      <c r="A17" s="34" t="s">
        <v>264</v>
      </c>
      <c r="B17" s="35">
        <v>1.1000000000000001</v>
      </c>
      <c r="C17" s="36" t="s">
        <v>238</v>
      </c>
      <c r="N17" s="91"/>
      <c r="P17" s="92">
        <v>0</v>
      </c>
      <c r="Q17" s="51">
        <f>$B$21/2^P17</f>
        <v>0.25600000000000001</v>
      </c>
      <c r="R17" s="51">
        <f>2^P17</f>
        <v>1</v>
      </c>
      <c r="S17" s="51">
        <v>1</v>
      </c>
      <c r="T17" s="93">
        <f t="shared" ref="T17:T29" si="1">R17/TS</f>
        <v>1161.1396645810751</v>
      </c>
      <c r="U17" s="47">
        <f t="shared" ref="U17:U29" si="2">T17/1000</f>
        <v>1.161139664581075</v>
      </c>
      <c r="V17" s="94">
        <f>1/T17</f>
        <v>8.6122284037277097E-4</v>
      </c>
    </row>
    <row r="18" spans="1:22" s="29" customFormat="1" x14ac:dyDescent="0.15">
      <c r="A18" s="34" t="s">
        <v>265</v>
      </c>
      <c r="B18" s="35">
        <v>0.5</v>
      </c>
      <c r="C18" s="36" t="s">
        <v>266</v>
      </c>
      <c r="E18" s="121" t="s">
        <v>219</v>
      </c>
      <c r="F18" s="124" t="s">
        <v>267</v>
      </c>
      <c r="G18" s="125"/>
      <c r="H18" s="124" t="s">
        <v>268</v>
      </c>
      <c r="I18" s="125"/>
      <c r="J18" s="126" t="s">
        <v>269</v>
      </c>
      <c r="K18" s="127"/>
      <c r="L18" s="124" t="s">
        <v>270</v>
      </c>
      <c r="M18" s="128"/>
      <c r="N18" s="91"/>
      <c r="P18" s="92">
        <v>1</v>
      </c>
      <c r="Q18" s="51">
        <f t="shared" ref="Q18:Q29" si="3">$B$21/2^P18</f>
        <v>0.128</v>
      </c>
      <c r="R18" s="51">
        <f t="shared" ref="R18:R29" si="4">2^P18</f>
        <v>2</v>
      </c>
      <c r="S18" s="51">
        <f>S17/2</f>
        <v>0.5</v>
      </c>
      <c r="T18" s="93">
        <f t="shared" si="1"/>
        <v>2322.2793291621501</v>
      </c>
      <c r="U18" s="47">
        <f t="shared" si="2"/>
        <v>2.32227932916215</v>
      </c>
      <c r="V18" s="94">
        <f t="shared" ref="V18:V29" si="5">1/T18</f>
        <v>4.3061142018638548E-4</v>
      </c>
    </row>
    <row r="19" spans="1:22" s="29" customFormat="1" x14ac:dyDescent="0.15">
      <c r="A19" s="34" t="s">
        <v>271</v>
      </c>
      <c r="B19" s="35">
        <v>9</v>
      </c>
      <c r="C19" s="36" t="s">
        <v>236</v>
      </c>
      <c r="E19" s="122"/>
      <c r="F19" s="112" t="s">
        <v>272</v>
      </c>
      <c r="G19" s="129"/>
      <c r="H19" s="112" t="s">
        <v>273</v>
      </c>
      <c r="I19" s="129"/>
      <c r="J19" s="130" t="s">
        <v>234</v>
      </c>
      <c r="K19" s="131"/>
      <c r="L19" s="112" t="s">
        <v>235</v>
      </c>
      <c r="M19" s="113"/>
      <c r="N19" s="91"/>
      <c r="P19" s="92">
        <v>2</v>
      </c>
      <c r="Q19" s="51">
        <f t="shared" si="3"/>
        <v>6.4000000000000001E-2</v>
      </c>
      <c r="R19" s="51">
        <f t="shared" si="4"/>
        <v>4</v>
      </c>
      <c r="S19" s="51">
        <f t="shared" ref="S19:S29" si="6">S18/2</f>
        <v>0.25</v>
      </c>
      <c r="T19" s="93">
        <f t="shared" si="1"/>
        <v>4644.5586583243003</v>
      </c>
      <c r="U19" s="47">
        <f t="shared" si="2"/>
        <v>4.6445586583242999</v>
      </c>
      <c r="V19" s="94">
        <f t="shared" si="5"/>
        <v>2.1530571009319274E-4</v>
      </c>
    </row>
    <row r="20" spans="1:22" s="29" customFormat="1" ht="18" x14ac:dyDescent="0.15">
      <c r="A20" s="114" t="s">
        <v>274</v>
      </c>
      <c r="B20" s="95">
        <f>B18*2^(B19)</f>
        <v>256</v>
      </c>
      <c r="C20" s="54" t="s">
        <v>266</v>
      </c>
      <c r="E20" s="123"/>
      <c r="F20" s="42" t="s">
        <v>238</v>
      </c>
      <c r="G20" s="43" t="s">
        <v>242</v>
      </c>
      <c r="H20" s="42" t="s">
        <v>238</v>
      </c>
      <c r="I20" s="43" t="s">
        <v>242</v>
      </c>
      <c r="J20" s="96" t="s">
        <v>238</v>
      </c>
      <c r="K20" s="97" t="s">
        <v>275</v>
      </c>
      <c r="L20" s="42" t="s">
        <v>237</v>
      </c>
      <c r="M20" s="45" t="s">
        <v>242</v>
      </c>
      <c r="P20" s="92">
        <v>3</v>
      </c>
      <c r="Q20" s="51">
        <f t="shared" si="3"/>
        <v>3.2000000000000001E-2</v>
      </c>
      <c r="R20" s="51">
        <f t="shared" si="4"/>
        <v>8</v>
      </c>
      <c r="S20" s="51">
        <f t="shared" si="6"/>
        <v>0.125</v>
      </c>
      <c r="T20" s="93">
        <f t="shared" si="1"/>
        <v>9289.1173166486005</v>
      </c>
      <c r="U20" s="47">
        <f t="shared" si="2"/>
        <v>9.2891173166485999</v>
      </c>
      <c r="V20" s="94">
        <f t="shared" si="5"/>
        <v>1.0765285504659637E-4</v>
      </c>
    </row>
    <row r="21" spans="1:22" s="29" customFormat="1" ht="15.75" thickBot="1" x14ac:dyDescent="0.3">
      <c r="A21" s="114"/>
      <c r="B21" s="65">
        <f>B20/1000</f>
        <v>0.25600000000000001</v>
      </c>
      <c r="C21" s="66" t="s">
        <v>262</v>
      </c>
      <c r="E21" s="77" t="s">
        <v>276</v>
      </c>
      <c r="F21" s="78">
        <v>0.5</v>
      </c>
      <c r="G21" s="81">
        <f>F21/TS</f>
        <v>580.56983229053753</v>
      </c>
      <c r="H21" s="78">
        <v>0.01</v>
      </c>
      <c r="I21" s="81">
        <f>H21/TS</f>
        <v>11.611396645810752</v>
      </c>
      <c r="J21" s="78">
        <v>1</v>
      </c>
      <c r="K21" s="81">
        <f>IF(J21=0,1,J21/TS)</f>
        <v>1161.1396645810751</v>
      </c>
      <c r="L21" s="82">
        <f>1/H21</f>
        <v>100</v>
      </c>
      <c r="M21" s="98">
        <f>I21</f>
        <v>11.611396645810752</v>
      </c>
      <c r="P21" s="92">
        <v>4</v>
      </c>
      <c r="Q21" s="51">
        <f t="shared" si="3"/>
        <v>1.6E-2</v>
      </c>
      <c r="R21" s="51">
        <f t="shared" si="4"/>
        <v>16</v>
      </c>
      <c r="S21" s="51">
        <f t="shared" si="6"/>
        <v>6.25E-2</v>
      </c>
      <c r="T21" s="93">
        <f t="shared" si="1"/>
        <v>18578.234633297201</v>
      </c>
      <c r="U21" s="47">
        <f t="shared" si="2"/>
        <v>18.5782346332972</v>
      </c>
      <c r="V21" s="94">
        <f t="shared" si="5"/>
        <v>5.3826427523298185E-5</v>
      </c>
    </row>
    <row r="22" spans="1:22" s="29" customFormat="1" x14ac:dyDescent="0.15">
      <c r="A22" s="34" t="s">
        <v>415</v>
      </c>
      <c r="B22" s="35">
        <v>2</v>
      </c>
      <c r="C22" s="36" t="s">
        <v>236</v>
      </c>
      <c r="F22" s="87"/>
      <c r="G22" s="99"/>
      <c r="P22" s="92">
        <v>5</v>
      </c>
      <c r="Q22" s="51">
        <f t="shared" si="3"/>
        <v>8.0000000000000002E-3</v>
      </c>
      <c r="R22" s="51">
        <f t="shared" si="4"/>
        <v>32</v>
      </c>
      <c r="S22" s="51">
        <f t="shared" si="6"/>
        <v>3.125E-2</v>
      </c>
      <c r="T22" s="93">
        <f t="shared" si="1"/>
        <v>37156.469266594402</v>
      </c>
      <c r="U22" s="47">
        <f t="shared" si="2"/>
        <v>37.156469266594399</v>
      </c>
      <c r="V22" s="94">
        <f t="shared" si="5"/>
        <v>2.6913213761649093E-5</v>
      </c>
    </row>
    <row r="23" spans="1:22" s="29" customFormat="1" x14ac:dyDescent="0.15">
      <c r="A23" s="114" t="s">
        <v>277</v>
      </c>
      <c r="B23" s="100">
        <f>Ma*(RL_coarse/(Air_c*SQRT(3)))</f>
        <v>8.6122284037277086E-4</v>
      </c>
      <c r="C23" s="54" t="s">
        <v>238</v>
      </c>
      <c r="F23" s="87"/>
      <c r="G23" s="99"/>
      <c r="P23" s="92">
        <v>6</v>
      </c>
      <c r="Q23" s="51">
        <f t="shared" si="3"/>
        <v>4.0000000000000001E-3</v>
      </c>
      <c r="R23" s="51">
        <f t="shared" si="4"/>
        <v>64</v>
      </c>
      <c r="S23" s="51">
        <f t="shared" si="6"/>
        <v>1.5625E-2</v>
      </c>
      <c r="T23" s="93">
        <f t="shared" si="1"/>
        <v>74312.938533188804</v>
      </c>
      <c r="U23" s="47">
        <f t="shared" si="2"/>
        <v>74.312938533188799</v>
      </c>
      <c r="V23" s="94">
        <f t="shared" si="5"/>
        <v>1.3456606880824546E-5</v>
      </c>
    </row>
    <row r="24" spans="1:22" s="29" customFormat="1" x14ac:dyDescent="0.15">
      <c r="A24" s="114"/>
      <c r="B24" s="101">
        <f>B23*1000</f>
        <v>0.86122284037277086</v>
      </c>
      <c r="C24" s="66" t="s">
        <v>278</v>
      </c>
      <c r="F24" s="87"/>
      <c r="G24" s="99"/>
      <c r="P24" s="92">
        <v>7</v>
      </c>
      <c r="Q24" s="51">
        <f t="shared" si="3"/>
        <v>2E-3</v>
      </c>
      <c r="R24" s="51">
        <f t="shared" si="4"/>
        <v>128</v>
      </c>
      <c r="S24" s="51">
        <f t="shared" si="6"/>
        <v>7.8125E-3</v>
      </c>
      <c r="T24" s="93">
        <f t="shared" si="1"/>
        <v>148625.87706637761</v>
      </c>
      <c r="U24" s="47">
        <f t="shared" si="2"/>
        <v>148.6258770663776</v>
      </c>
      <c r="V24" s="94">
        <f t="shared" si="5"/>
        <v>6.7283034404122732E-6</v>
      </c>
    </row>
    <row r="25" spans="1:22" s="29" customFormat="1" ht="27.75" thickBot="1" x14ac:dyDescent="0.2">
      <c r="A25" s="74" t="s">
        <v>279</v>
      </c>
      <c r="B25" s="102">
        <f>Sim_t/TS</f>
        <v>1277.2536310391829</v>
      </c>
      <c r="C25" s="76" t="s">
        <v>236</v>
      </c>
      <c r="P25" s="92">
        <v>8</v>
      </c>
      <c r="Q25" s="51">
        <f t="shared" si="3"/>
        <v>1E-3</v>
      </c>
      <c r="R25" s="51">
        <f t="shared" si="4"/>
        <v>256</v>
      </c>
      <c r="S25" s="51">
        <f t="shared" si="6"/>
        <v>3.90625E-3</v>
      </c>
      <c r="T25" s="93">
        <f t="shared" si="1"/>
        <v>297251.75413275522</v>
      </c>
      <c r="U25" s="47">
        <f t="shared" si="2"/>
        <v>297.2517541327552</v>
      </c>
      <c r="V25" s="94">
        <f t="shared" si="5"/>
        <v>3.3641517202061366E-6</v>
      </c>
    </row>
    <row r="26" spans="1:22" s="29" customFormat="1" x14ac:dyDescent="0.15">
      <c r="P26" s="92">
        <v>9</v>
      </c>
      <c r="Q26" s="51">
        <f t="shared" si="3"/>
        <v>5.0000000000000001E-4</v>
      </c>
      <c r="R26" s="51">
        <f t="shared" si="4"/>
        <v>512</v>
      </c>
      <c r="S26" s="51">
        <f t="shared" si="6"/>
        <v>1.953125E-3</v>
      </c>
      <c r="T26" s="93">
        <f t="shared" si="1"/>
        <v>594503.50826551043</v>
      </c>
      <c r="U26" s="47">
        <f t="shared" si="2"/>
        <v>594.50350826551039</v>
      </c>
      <c r="V26" s="94">
        <f t="shared" si="5"/>
        <v>1.6820758601030683E-6</v>
      </c>
    </row>
    <row r="27" spans="1:22" s="29" customFormat="1" x14ac:dyDescent="0.15">
      <c r="P27" s="92">
        <v>10</v>
      </c>
      <c r="Q27" s="51">
        <f t="shared" si="3"/>
        <v>2.5000000000000001E-4</v>
      </c>
      <c r="R27" s="51">
        <f t="shared" si="4"/>
        <v>1024</v>
      </c>
      <c r="S27" s="51">
        <f t="shared" si="6"/>
        <v>9.765625E-4</v>
      </c>
      <c r="T27" s="93">
        <f t="shared" si="1"/>
        <v>1189007.0165310209</v>
      </c>
      <c r="U27" s="47">
        <f t="shared" si="2"/>
        <v>1189.0070165310208</v>
      </c>
      <c r="V27" s="94">
        <f t="shared" si="5"/>
        <v>8.4103793005153415E-7</v>
      </c>
    </row>
    <row r="28" spans="1:22" s="29" customFormat="1" x14ac:dyDescent="0.15">
      <c r="P28" s="92">
        <v>11</v>
      </c>
      <c r="Q28" s="51">
        <f t="shared" si="3"/>
        <v>1.25E-4</v>
      </c>
      <c r="R28" s="51">
        <f t="shared" si="4"/>
        <v>2048</v>
      </c>
      <c r="S28" s="51">
        <f t="shared" si="6"/>
        <v>4.8828125E-4</v>
      </c>
      <c r="T28" s="93">
        <f t="shared" si="1"/>
        <v>2378014.0330620417</v>
      </c>
      <c r="U28" s="47">
        <f t="shared" si="2"/>
        <v>2378.0140330620416</v>
      </c>
      <c r="V28" s="94">
        <f t="shared" si="5"/>
        <v>4.2051896502576707E-7</v>
      </c>
    </row>
    <row r="29" spans="1:22" s="29" customFormat="1" ht="15.75" thickBot="1" x14ac:dyDescent="0.2">
      <c r="P29" s="103">
        <v>12</v>
      </c>
      <c r="Q29" s="72">
        <f t="shared" si="3"/>
        <v>6.2500000000000001E-5</v>
      </c>
      <c r="R29" s="72">
        <f t="shared" si="4"/>
        <v>4096</v>
      </c>
      <c r="S29" s="72">
        <f t="shared" si="6"/>
        <v>2.44140625E-4</v>
      </c>
      <c r="T29" s="104">
        <f t="shared" si="1"/>
        <v>4756028.0661240835</v>
      </c>
      <c r="U29" s="68">
        <f t="shared" si="2"/>
        <v>4756.0280661240831</v>
      </c>
      <c r="V29" s="105">
        <f t="shared" si="5"/>
        <v>2.1025948251288354E-7</v>
      </c>
    </row>
  </sheetData>
  <mergeCells count="29">
    <mergeCell ref="T15:U15"/>
    <mergeCell ref="B2:C2"/>
    <mergeCell ref="A6:C6"/>
    <mergeCell ref="E6:N6"/>
    <mergeCell ref="P6:V6"/>
    <mergeCell ref="A8:C8"/>
    <mergeCell ref="E8:E10"/>
    <mergeCell ref="F8:G8"/>
    <mergeCell ref="H8:I8"/>
    <mergeCell ref="J8:K8"/>
    <mergeCell ref="M8:N8"/>
    <mergeCell ref="F9:G9"/>
    <mergeCell ref="H9:I9"/>
    <mergeCell ref="J9:K9"/>
    <mergeCell ref="M9:N9"/>
    <mergeCell ref="A11:A12"/>
    <mergeCell ref="L19:M19"/>
    <mergeCell ref="A20:A21"/>
    <mergeCell ref="A23:A24"/>
    <mergeCell ref="A16:C16"/>
    <mergeCell ref="E16:M16"/>
    <mergeCell ref="E18:E20"/>
    <mergeCell ref="F18:G18"/>
    <mergeCell ref="H18:I18"/>
    <mergeCell ref="J18:K18"/>
    <mergeCell ref="L18:M18"/>
    <mergeCell ref="F19:G19"/>
    <mergeCell ref="H19:I19"/>
    <mergeCell ref="J19:K19"/>
  </mergeCells>
  <phoneticPr fontId="1"/>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10</vt:i4>
      </vt:variant>
    </vt:vector>
  </HeadingPairs>
  <TitlesOfParts>
    <vt:vector size="25" baseType="lpstr">
      <vt:lpstr>General</vt:lpstr>
      <vt:lpstr>Wheels_baffles</vt:lpstr>
      <vt:lpstr>Belts</vt:lpstr>
      <vt:lpstr>Heat_exchangers</vt:lpstr>
      <vt:lpstr>Ride_Height</vt:lpstr>
      <vt:lpstr>Mesh_Control</vt:lpstr>
      <vt:lpstr>Additional_offset_refinement</vt:lpstr>
      <vt:lpstr>Custom_refinement</vt:lpstr>
      <vt:lpstr>Partial_Volume_Outputs</vt:lpstr>
      <vt:lpstr>Partial_Surface_Outputs</vt:lpstr>
      <vt:lpstr>Monitor_Surface_Outputs</vt:lpstr>
      <vt:lpstr>Full_Partial_Volume_Outputs</vt:lpstr>
      <vt:lpstr>fullData_Outputs</vt:lpstr>
      <vt:lpstr>FullData_Surface_Outputs</vt:lpstr>
      <vt:lpstr>CALCULATOR</vt:lpstr>
      <vt:lpstr>Air_c</vt:lpstr>
      <vt:lpstr>Air_mu</vt:lpstr>
      <vt:lpstr>Air_R</vt:lpstr>
      <vt:lpstr>Air_rho</vt:lpstr>
      <vt:lpstr>Air_T</vt:lpstr>
      <vt:lpstr>Ma</vt:lpstr>
      <vt:lpstr>RL_coarse</vt:lpstr>
      <vt:lpstr>RLs</vt:lpstr>
      <vt:lpstr>Sim_t</vt:lpstr>
      <vt:lpst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Yuta Kanemaru</dc:creator>
  <cp:lastModifiedBy>Yuta Kanemaru</cp:lastModifiedBy>
  <dcterms:created xsi:type="dcterms:W3CDTF">2024-11-18T02:42:30Z</dcterms:created>
  <dcterms:modified xsi:type="dcterms:W3CDTF">2026-03-18T04:23:42Z</dcterms:modified>
</cp:coreProperties>
</file>